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4240" windowHeight="13020" tabRatio="500" activeTab="1"/>
  </bookViews>
  <sheets>
    <sheet name="Statement" sheetId="1" r:id="rId1"/>
    <sheet name="bank_xml_working_practice" sheetId="2" r:id="rId2"/>
  </sheets>
  <definedNames>
    <definedName name="_xlnm._FilterDatabase" localSheetId="1" hidden="1">bank_xml_working_practice!$A$1:$I$700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3" i="1"/>
  <c r="F668" i="1"/>
  <c r="E667" i="1"/>
  <c r="D667" i="1"/>
</calcChain>
</file>

<file path=xl/sharedStrings.xml><?xml version="1.0" encoding="utf-8"?>
<sst xmlns="http://schemas.openxmlformats.org/spreadsheetml/2006/main" count="2118" uniqueCount="1626">
  <si>
    <t>Date</t>
  </si>
  <si>
    <t>Particulars</t>
  </si>
  <si>
    <t>Chq. No.</t>
  </si>
  <si>
    <t>Withdrawals</t>
  </si>
  <si>
    <t>Deposits</t>
  </si>
  <si>
    <t>Balance</t>
  </si>
  <si>
    <t>01-04-25</t>
  </si>
  <si>
    <t>B/F</t>
  </si>
  <si>
    <t>02-04-25</t>
  </si>
  <si>
    <t>UPI/5457910124 UPI/545791012418/08:45:04/UPI/paytm.s1b0s13@pty/U</t>
  </si>
  <si>
    <t>91012418</t>
  </si>
  <si>
    <t>UPI/5457009676 UPI/545700967683/19:32:34/UPI/gpay-utility@okpaya</t>
  </si>
  <si>
    <t>967683</t>
  </si>
  <si>
    <t>UPI/5457441729 UPI/545744172964/20:09:17/UPI/paytm-jiomobility@p</t>
  </si>
  <si>
    <t>44172964</t>
  </si>
  <si>
    <t>UPI/5457131604 UPI/545713160401/20:26:21/UPI/vyapar.170370561699</t>
  </si>
  <si>
    <t>13160401</t>
  </si>
  <si>
    <t>UPI/5458123671 UPI/545812367103/08:44:36/UPI/paytm.s1b0s13@pty/U</t>
  </si>
  <si>
    <t>12367103</t>
  </si>
  <si>
    <t>UPI/5458833911 UPI/545883391125/09:17:58/UPI/q974374978@ybl/petr</t>
  </si>
  <si>
    <t>83391125</t>
  </si>
  <si>
    <t>UPI/5092092009 UPI/509209200920/12:44:40/UPI/q332721858@ybl/UPI</t>
  </si>
  <si>
    <t>9200920</t>
  </si>
  <si>
    <t>UPI/5092292235 UPI/509229223579/20:36:59/UPI/q693845781@ybl/UPI</t>
  </si>
  <si>
    <t>29223579</t>
  </si>
  <si>
    <t>03-04-25</t>
  </si>
  <si>
    <t>UPI/5093409525 UPI/509340952547/08:46:45/UPI/paytm.s1b9xoc@pty/U</t>
  </si>
  <si>
    <t>40952547</t>
  </si>
  <si>
    <t>UPI/5093908506 UPI/509390850691/12:52:34/UPI/q332721858@ybl/UPI</t>
  </si>
  <si>
    <t>90850691</t>
  </si>
  <si>
    <t>SERMAS-CHENNAI BY INST 172558 : MICR CLG (CTS)</t>
  </si>
  <si>
    <t>172558</t>
  </si>
  <si>
    <t>04-04-25</t>
  </si>
  <si>
    <t>UPI/5460591314 UPI/546059131478/12:44:42/UPI/q842095452@ybl/UPI</t>
  </si>
  <si>
    <t>59131478</t>
  </si>
  <si>
    <t>UPI/5460150300 UPI/546015030043/18:33:34/UPI/paytm-jiomobility@p</t>
  </si>
  <si>
    <t>15030043</t>
  </si>
  <si>
    <t>UPI/5460754358 UPI/546075435827/19:13:51/UPI/paytm.s14mwxq@pty/U</t>
  </si>
  <si>
    <t>75435827</t>
  </si>
  <si>
    <t>UPI/1121614609 UPI/112161460945/21:59:36/UPI/fcpgomniware1@freec</t>
  </si>
  <si>
    <t>61460945</t>
  </si>
  <si>
    <t>UPI/5460444548 UPI/546044454849/22:55:13/UPI/paytm-79166589@ptys</t>
  </si>
  <si>
    <t>44454849</t>
  </si>
  <si>
    <t>05-04-25</t>
  </si>
  <si>
    <t>UPI/5461217823 UPI/546121782325/10:33:45/UPI/fcbizfsif75@freecha</t>
  </si>
  <si>
    <t>21782325</t>
  </si>
  <si>
    <t>UPI/5461940816 UPI/546194081660/10:51:05/UPI/saina98817742@barod</t>
  </si>
  <si>
    <t>94081660</t>
  </si>
  <si>
    <t>UPI/5461528809 UPI/546152880980/10:56:00/UPI/q852539445@ybl/UPI</t>
  </si>
  <si>
    <t>52880980</t>
  </si>
  <si>
    <t>06-04-25</t>
  </si>
  <si>
    <t>UPI/5096902711 UPI/509690271185/11:16:24/UPI/paytmqr69zva8@ptys/</t>
  </si>
  <si>
    <t>90271185</t>
  </si>
  <si>
    <t>UPI/5462505024 UPI/546250502437/19:25:31/UPI/paytm-jiomobility@p</t>
  </si>
  <si>
    <t>50502437</t>
  </si>
  <si>
    <t>UPI/5462601062 UPI/546260106246/20:04:29/UPI/paytmqr6a3avj@ptys/</t>
  </si>
  <si>
    <t>60106246</t>
  </si>
  <si>
    <t>07-04-25</t>
  </si>
  <si>
    <t>UPI/5463630231 UPI/546363023123/08:45:09/UPI/paytm.s1b9xoc@pty/t</t>
  </si>
  <si>
    <t>63023123</t>
  </si>
  <si>
    <t>UPI/5463054285 UPI/546305428551/12:38:23/UPI/q842095452@ybl/lunc</t>
  </si>
  <si>
    <t>5428551</t>
  </si>
  <si>
    <t>UPI/5463853530 UPI/546385353034/16:06:46/UPI/paytm-jiomobility@p</t>
  </si>
  <si>
    <t>85353034</t>
  </si>
  <si>
    <t>UPI/5463573409 UPI/546357340936/16:31:06/UPI/jiofiber-paytm@ptyb</t>
  </si>
  <si>
    <t>57340936</t>
  </si>
  <si>
    <t>UPI/5463723911 UPI/546372391182/20:24:15/UPI/q852539445@ybl/soda</t>
  </si>
  <si>
    <t>72391182</t>
  </si>
  <si>
    <t>08-04-25</t>
  </si>
  <si>
    <t>UPI/5464083985 UPI/546408398506/08:43:23/UPI/apollopharmacy.4252</t>
  </si>
  <si>
    <t>8398506</t>
  </si>
  <si>
    <t>UPI/5098591034 UPI/509859103438/08:47:35/UPI/paytm.s1b9xoc@pty/U</t>
  </si>
  <si>
    <t>59103438</t>
  </si>
  <si>
    <t>UPI/5098149034 UPI/509814903487/12:41:33/UPI/q332721858@ybl/lunc</t>
  </si>
  <si>
    <t>14903487</t>
  </si>
  <si>
    <t>UPI/1028118871 UPI/102811887108/14:23:41/UPI/yeshpetkar1@okhdfcb</t>
  </si>
  <si>
    <t>11887108</t>
  </si>
  <si>
    <t>UPI/5098451382 UPI/509845138269/19:26:59/UPI/paytmqr281005050101</t>
  </si>
  <si>
    <t>45138269</t>
  </si>
  <si>
    <t>09-04-25</t>
  </si>
  <si>
    <t>UPI/5099777706 UPI/509977770632/08:50:39/UPI/paytm.s1b9xoc@pty/U</t>
  </si>
  <si>
    <t>77770632</t>
  </si>
  <si>
    <t>NACHMU-MUMBAI/ APBCR/Credit Through PFMS/7054733111/110827200716</t>
  </si>
  <si>
    <t>UPI/5099380927 UPI/509938092763/12:46:07/UPI/q332721858@ybl/lunc</t>
  </si>
  <si>
    <t>38092763</t>
  </si>
  <si>
    <t>UPI/5465555188 UPI/546555518827/18:36:30/UPI/q381642145@ybl/UPI</t>
  </si>
  <si>
    <t>55518827</t>
  </si>
  <si>
    <t>10-04-25</t>
  </si>
  <si>
    <t>SMS Charges SMS Charges for MAR 25</t>
  </si>
  <si>
    <t>UPI/5466138572 UPI/546613857203/08:51:15/UPI/paytm.s1b9xoc@pty/t</t>
  </si>
  <si>
    <t>13857203</t>
  </si>
  <si>
    <t>UPI/5466897675 UPI/546689767522/13:46:45/UPI/bdj3103@okaxis/cake</t>
  </si>
  <si>
    <t>89767522</t>
  </si>
  <si>
    <t>11-04-25</t>
  </si>
  <si>
    <t>UPI/5101277234 UPI/510127723443/08:52:47/UPI/paytm.s1b9xoc@pty/t</t>
  </si>
  <si>
    <t>27723443</t>
  </si>
  <si>
    <t>UPI/5101364370 UPI/510136437002/13:13:13/UPI/q917691126@ybl/UPI</t>
  </si>
  <si>
    <t>36437002</t>
  </si>
  <si>
    <t>UPI/5101793500 UPI/510179350018/16:05:09/UPI/9822663277@ybl/baja</t>
  </si>
  <si>
    <t>79350018</t>
  </si>
  <si>
    <t>UPI/5101475491 UPI/510147549187/18:45:31/UPI/q545414383@ybl/UPI</t>
  </si>
  <si>
    <t>47549187</t>
  </si>
  <si>
    <t>UPI/5101165535 UPI/510116553558/18:49:33/UPI/q545414383@ybl/UPI</t>
  </si>
  <si>
    <t>16553558</t>
  </si>
  <si>
    <t>UPI/5101949540 UPI/510194954097/18:50:25/UPI/vyapar.173351352845</t>
  </si>
  <si>
    <t>94954097</t>
  </si>
  <si>
    <t>13-04-25</t>
  </si>
  <si>
    <t>UPI/3886361941 UPI/388636194171/18:37:56/UPI/9822663277@axl/Paym</t>
  </si>
  <si>
    <t>36194171</t>
  </si>
  <si>
    <t>UPI/5103597299 UPI/510359729992/19:35:53/UPI/paytmqr68u0jn@ptys/</t>
  </si>
  <si>
    <t>59729992</t>
  </si>
  <si>
    <t>14-04-25</t>
  </si>
  <si>
    <t>UPI/5104055481 UPI/510405548146/08:44:48/UPI/paytm.s1b9xoc@pty/t</t>
  </si>
  <si>
    <t>5548146</t>
  </si>
  <si>
    <t>UPI/5104926668 UPI/510492666883/12:48:42/UPI/q332721858@ybl/UPI</t>
  </si>
  <si>
    <t>92666883</t>
  </si>
  <si>
    <t>15-04-25</t>
  </si>
  <si>
    <t>UPI/5471529036 UPI/547152903677/08:51:57/UPI/paytm.s1b9xoc@pty/U</t>
  </si>
  <si>
    <t>52903677</t>
  </si>
  <si>
    <t>UPI/5471607274 UPI/547160727477/12:45:42/UPI/q332721858@ybl/UPI</t>
  </si>
  <si>
    <t>60727477</t>
  </si>
  <si>
    <t>UPI/5471602458 UPI/547160245845/18:13:50/UPI/q852539445@ybl/chaa</t>
  </si>
  <si>
    <t>60245845</t>
  </si>
  <si>
    <t>16-04-25</t>
  </si>
  <si>
    <t>UPI/5472246845 UPI/547224684592/09:55:14/UPI/q622060608@ybl/petr</t>
  </si>
  <si>
    <t>24684592</t>
  </si>
  <si>
    <t>UPI/5472685875 UPI/547268587523/12:43:36/UPI/q332721858@ybl/UPI</t>
  </si>
  <si>
    <t>68587523</t>
  </si>
  <si>
    <t>UPI/5472635920 UPI/547263592072/17:11:25/UPI/gpay-utility@okpaya</t>
  </si>
  <si>
    <t>63592072</t>
  </si>
  <si>
    <t>UPI/5106784132 UPI/510678413275/18:53:12/UPI/akashjadhav543@oksb</t>
  </si>
  <si>
    <t>78413275</t>
  </si>
  <si>
    <t>UPI/5106182295 UPI/510618229508/20:56:57/UPI/q852539445@ybl/UPI</t>
  </si>
  <si>
    <t>18229508</t>
  </si>
  <si>
    <t>17-04-25</t>
  </si>
  <si>
    <t>UPI/5107439420 UPI/510743942093/08:37:33/UPI/paytm.s1b9xoc@pty/t</t>
  </si>
  <si>
    <t>43942093</t>
  </si>
  <si>
    <t>UPI/5107537578 UPI/510753757800/12:48:01/UPI/q842095452@ybl/UPI</t>
  </si>
  <si>
    <t>53757800</t>
  </si>
  <si>
    <t>UPI/5107424742 UPI/510742474219/17:57:23/UPI/avenuesupermartsltd</t>
  </si>
  <si>
    <t>42474219</t>
  </si>
  <si>
    <t>UPI/5473111001 UPI/547311100150/20:50:43/UPI/paytmqr69zwn3@ptys/</t>
  </si>
  <si>
    <t>11100150</t>
  </si>
  <si>
    <t>18-04-25</t>
  </si>
  <si>
    <t>UPI/5474863211 UPI/547486321108/08:46:43/UPI/bharatpe.9s0x0c0s0r</t>
  </si>
  <si>
    <t>86321108</t>
  </si>
  <si>
    <t>UPI/5474675250 UPI/547467525079/12:54:22/UPI/q583264499@ybl/lunc</t>
  </si>
  <si>
    <t>67525079</t>
  </si>
  <si>
    <t>UPI/5474487255 UPI/547448725529/13:30:25/UPI/bdj3103@okaxis/UPI</t>
  </si>
  <si>
    <t>48725529</t>
  </si>
  <si>
    <t>19-04-25</t>
  </si>
  <si>
    <t>UPI/5475328765 UPI/547532876579/10:36:04/UPI/paytmqr68smdl@ptys/</t>
  </si>
  <si>
    <t>32876579</t>
  </si>
  <si>
    <t>UPI/5475059936 UPI/547505993649/10:39:09/UPI/paytm.s1b9xoc@pty/t</t>
  </si>
  <si>
    <t>5993649</t>
  </si>
  <si>
    <t>UPI/5109234139 UPI/510923413933/15:59:11/UPI/paytmqr69zwn3@ptys/</t>
  </si>
  <si>
    <t>23413933</t>
  </si>
  <si>
    <t>UPI/0013679319 UPI/001367931980/20:55:54/UPI/9822663277@ybl/Paym</t>
  </si>
  <si>
    <t>67931980</t>
  </si>
  <si>
    <t>UPI/5109669474 UPI/510966947403/20:56:01/UPI/gpay-11193738130@ok</t>
  </si>
  <si>
    <t>66947403</t>
  </si>
  <si>
    <t>20-04-25</t>
  </si>
  <si>
    <t>UPI/5110090651 UPI/511009065145/10:37:59/UPI/0792127a0200193.bqr</t>
  </si>
  <si>
    <t>9065145</t>
  </si>
  <si>
    <t>UPI/5110675531 UPI/511067553104/10:57:21/UPI/q852539445@ybl/butt</t>
  </si>
  <si>
    <t>67553104</t>
  </si>
  <si>
    <t>UPI/5110531840 UPI/511053184005/18:08:40/UPI/myjio.easebuzz@hdfc</t>
  </si>
  <si>
    <t>53184005</t>
  </si>
  <si>
    <t>UPI/5110445965 UPI/511044596502/21:51:07/UPI/paytmqr68xe9t@ptys/</t>
  </si>
  <si>
    <t>44596502</t>
  </si>
  <si>
    <t>UPI/5110875968 UPI/511087596879/22:00:07/UPI/paytmqr63q778@ptys/</t>
  </si>
  <si>
    <t>87596879</t>
  </si>
  <si>
    <t>21-04-25</t>
  </si>
  <si>
    <t>UPI/5477862088 UPI/547786208895/09:00:58/UPI/paytmqr6cwnte@ptys/</t>
  </si>
  <si>
    <t>86208895</t>
  </si>
  <si>
    <t>UPI/5477641361 UPI/547764136134/12:50:22/UPI/q842095452@ybl/UPI</t>
  </si>
  <si>
    <t>64136134</t>
  </si>
  <si>
    <t>22-04-25</t>
  </si>
  <si>
    <t>UPI/5478850837 UPI/547885083793/08:39:58/UPI/paytm.s1b9xoc@pty/U</t>
  </si>
  <si>
    <t>85083793</t>
  </si>
  <si>
    <t>UPI/5478508831 UPI/547850883141/12:46:56/UPI/q842095452@ybl/UPI</t>
  </si>
  <si>
    <t>50883141</t>
  </si>
  <si>
    <t>23-04-25</t>
  </si>
  <si>
    <t>UPI/5113075387 UPI/511307538747/08:39:46/UPI/paytm.s1b9xoc@pty/t</t>
  </si>
  <si>
    <t>7538747</t>
  </si>
  <si>
    <t>UPI/5113655374 UPI/511365537431/09:15:09/UPI/paytm-8909634@ptys/</t>
  </si>
  <si>
    <t>65537431</t>
  </si>
  <si>
    <t>UPI/5113713412 UPI/511371341272/10:06:46/UPI/gpay-utility@okpaya</t>
  </si>
  <si>
    <t>71341272</t>
  </si>
  <si>
    <t>UPI/5479558013 UPI/547955801314/20:20:30/UPI/paytmqr69zva7@ptys/</t>
  </si>
  <si>
    <t>55801314</t>
  </si>
  <si>
    <t>24-04-25</t>
  </si>
  <si>
    <t>UPI/5480973193 UPI/548097319309/08:45:09/UPI/paytm.s1ev4zm@pty/t</t>
  </si>
  <si>
    <t>97319309</t>
  </si>
  <si>
    <t>UPI/5480091320 UPI/548009132020/12:52:14/UPI/q332721858@ybl/UPI</t>
  </si>
  <si>
    <t>9132020</t>
  </si>
  <si>
    <t>25-04-25</t>
  </si>
  <si>
    <t>UPI/5481535781 UPI/548153578130/08:45:46/UPI/paytm.s1b0s13@pty/t</t>
  </si>
  <si>
    <t>53578130</t>
  </si>
  <si>
    <t>26-04-25</t>
  </si>
  <si>
    <t>UPI/5116560743 UPI/511656074317/11:19:07/UPI/paytmqr69zva8@ptys/</t>
  </si>
  <si>
    <t>56074317</t>
  </si>
  <si>
    <t>UPI/5116618640 UPI/511661864025/14:38:27/UPI/paytmqr69zwn3@ptys/</t>
  </si>
  <si>
    <t>61864025</t>
  </si>
  <si>
    <t>UPI/5482762035 UPI/548276203553/22:01:22/UPI/pareshvaghasiya1977</t>
  </si>
  <si>
    <t>76203553</t>
  </si>
  <si>
    <t>27-04-25</t>
  </si>
  <si>
    <t>UPI/5483056255 UPI/548305625558/11:50:02/UPI/q143356716@ybl/Dhai</t>
  </si>
  <si>
    <t>5625558</t>
  </si>
  <si>
    <t>UPI/5483398633 UPI/548339863358/16:39:08/UPI/zeptonow.cf@axisban</t>
  </si>
  <si>
    <t>39863358</t>
  </si>
  <si>
    <t>28-04-25</t>
  </si>
  <si>
    <t>UPI/5484672880 UPI/548467288097/08:45:24/UPI/bharatpe.9s0x0c0s0r</t>
  </si>
  <si>
    <t>67288097</t>
  </si>
  <si>
    <t>UPI/5484457951 UPI/548445795116/12:40:21/UPI/q842095452@ybl/lunc</t>
  </si>
  <si>
    <t>45795116</t>
  </si>
  <si>
    <t>UPI/5118823481 UPI/511882348105/20:36:34/UPI/paytmqr5a2f41@paytm</t>
  </si>
  <si>
    <t>82348105</t>
  </si>
  <si>
    <t>29-04-25</t>
  </si>
  <si>
    <t>UPI/5119609836 UPI/511960983686/12:21:35/UPI/q583264499@ybl/UPI</t>
  </si>
  <si>
    <t>60983686</t>
  </si>
  <si>
    <t>UPI/5119551785 UPI/511955178592/12:23:15/UPI/q842095452@ybl/UPI</t>
  </si>
  <si>
    <t>55178592</t>
  </si>
  <si>
    <t>UPI/5119671744 UPI/511967174486/13:39:35/UPI/paytmqr6dni57@ptys/</t>
  </si>
  <si>
    <t>67174486</t>
  </si>
  <si>
    <t>30-04-25</t>
  </si>
  <si>
    <t>DIGITA-MUMBAI/ NEFT-HSBCN12038775298-DASSAULT SYSTEMES INDIA PRIV</t>
  </si>
  <si>
    <t>UPI/5486650355 UPI/548665035594/10:07:10/UPI/getepay.gvi.sb02191</t>
  </si>
  <si>
    <t>65035594</t>
  </si>
  <si>
    <t>UPI/5486356526 UPI/548635652690/13:34:29/UPI/amul.pujari22@oksbi</t>
  </si>
  <si>
    <t>35652690</t>
  </si>
  <si>
    <t>01-05-25</t>
  </si>
  <si>
    <t>UPI/5121380196 UPI/512138019605/11:15:41/UPI/q087500052@ybl/medi</t>
  </si>
  <si>
    <t>38019605</t>
  </si>
  <si>
    <t>:Int.Pd:01-02- 33590100007037:Int.Pd:01-02-2025 to 30-04-2025</t>
  </si>
  <si>
    <t>7037</t>
  </si>
  <si>
    <t>02-05-25</t>
  </si>
  <si>
    <t>UPI/5488590040 UPI/548859004038/11:55:11/UPI/2306666821051-01@ji</t>
  </si>
  <si>
    <t>59004038</t>
  </si>
  <si>
    <t>03-05-25</t>
  </si>
  <si>
    <t>UPI/5489892469 UPI/548989246924/09:14:18/UPI/myjio.easebuzz@hdfc</t>
  </si>
  <si>
    <t>89246924</t>
  </si>
  <si>
    <t>UPI/5123868286 UPI/512386828639/23:06:12/UPI/paytmqr57zyx5@paytm</t>
  </si>
  <si>
    <t>86828639</t>
  </si>
  <si>
    <t>04-05-25</t>
  </si>
  <si>
    <t>UPI/5124284543 UPI/512428454348/11:44:38/UPI/videshdandre@ibl/UP</t>
  </si>
  <si>
    <t>28454348</t>
  </si>
  <si>
    <t>UPI/5124028520 UPI/512402852020/11:55:15/UPI/videshdandre@ibl/GN</t>
  </si>
  <si>
    <t>2852020</t>
  </si>
  <si>
    <t>05-05-25</t>
  </si>
  <si>
    <t>UPI/5491344417 UPI/549134441773/17:42:07/UPI/myjio.easebuzz@hdfc</t>
  </si>
  <si>
    <t>34441773</t>
  </si>
  <si>
    <t>06-05-25</t>
  </si>
  <si>
    <t>UPI/5492400934 UPI/549240093434/12:34:30/UPI/myjio.easebuzz@hdfc</t>
  </si>
  <si>
    <t>40093434</t>
  </si>
  <si>
    <t>UPI/5126739227 UPI/512673922787/19:04:09/UPI/boism-9595685775@bo</t>
  </si>
  <si>
    <t>73922787</t>
  </si>
  <si>
    <t>08-05-25</t>
  </si>
  <si>
    <t>UPI/5494983396 UPI/549498339604/18:19:35/UPI/paytmqr6c2b3i@ptys/</t>
  </si>
  <si>
    <t>98339604</t>
  </si>
  <si>
    <t>09-05-25</t>
  </si>
  <si>
    <t>UPI/5495741978 UPI/549574197891/17:33:28/UPI/sandeepsutariys@okh</t>
  </si>
  <si>
    <t>74197891</t>
  </si>
  <si>
    <t>UPI/5495328985 UPI/549532898553/17:35:40/UPI/sandeepsutariys@okh</t>
  </si>
  <si>
    <t>32898553</t>
  </si>
  <si>
    <t>10-05-25</t>
  </si>
  <si>
    <t>UPI/5496441053 UPI/549644105315/23:00:34/UPI/paytmqr6apgsl@ptys/</t>
  </si>
  <si>
    <t>44105315</t>
  </si>
  <si>
    <t>11-05-25</t>
  </si>
  <si>
    <t>UPI/5497502503 UPI/549750250399/20:43:07/UPI/redbus1online.gpay@</t>
  </si>
  <si>
    <t>50250399</t>
  </si>
  <si>
    <t>14-05-25</t>
  </si>
  <si>
    <t>UPI/5500976320 UPI/550097632093/17:03:50/UPI/pareshvaghasiya1977</t>
  </si>
  <si>
    <t>97632093</t>
  </si>
  <si>
    <t>16-05-25</t>
  </si>
  <si>
    <t>UPI/5136183244 UPI/513618324445/08:45:23/UPI/paytm.s1ev4zm@pty/t</t>
  </si>
  <si>
    <t>18324445</t>
  </si>
  <si>
    <t>UPI/5136887252 UPI/513688725288/09:31:07/UPI/paytmqr5czmyz@ptys/</t>
  </si>
  <si>
    <t>88725288</t>
  </si>
  <si>
    <t>UPI/5136915430 UPI/513691543007/12:46:32/UPI/q842095452@ybl/lunc</t>
  </si>
  <si>
    <t>91543007</t>
  </si>
  <si>
    <t>UPI/5136429340 UPI/513642934007/12:46:50/UPI/bdj3103@okaxis/UPI</t>
  </si>
  <si>
    <t>42934007</t>
  </si>
  <si>
    <t>UPI/5136050580 UPI/513605058037/18:01:59/UPI/q143356716@ybl/UPI</t>
  </si>
  <si>
    <t>5058037</t>
  </si>
  <si>
    <t>UPI/5136328506 UPI/513632850675/18:03:54/UPI/paytmqr69zwn3@ptys/</t>
  </si>
  <si>
    <t>32850675</t>
  </si>
  <si>
    <t>17-05-25</t>
  </si>
  <si>
    <t>UPI/5137325890 UPI/513732589057/08:04:29/UPI/paytm.s1b9xoc@pty/t</t>
  </si>
  <si>
    <t>32589057</t>
  </si>
  <si>
    <t>UPI/5137605926 UPI/513760592612/12:41:17/UPI/paytmqr281005050101</t>
  </si>
  <si>
    <t>60592612</t>
  </si>
  <si>
    <t>UPI/5503003066 UPI/550300306653/14:05:56/UPI/paytmqr281005050101</t>
  </si>
  <si>
    <t>306653</t>
  </si>
  <si>
    <t>UPI/5503868275 UPI/550386827588/18:44:20/UPI/paytmqr69zva8@ptys/</t>
  </si>
  <si>
    <t>86827588</t>
  </si>
  <si>
    <t>18-05-25</t>
  </si>
  <si>
    <t>UPI/5504717508 UPI/550471750851/09:23:43/UPI/paytmqr69zva8@ptys/</t>
  </si>
  <si>
    <t>71750851</t>
  </si>
  <si>
    <t>UPI/5504647388 UPI/550464738877/09:26:33/UPI/paytm.s1cbtv9@pty/U</t>
  </si>
  <si>
    <t>64738877</t>
  </si>
  <si>
    <t>UPI/1005750001 UPI/100575000105/12:35:15/UPI/zerodhamf@hdfcbank/</t>
  </si>
  <si>
    <t>75000105</t>
  </si>
  <si>
    <t>UPI/1005750046 UPI/100575004610/12:35:55/UPI/zerodhamf@hdfcbank/</t>
  </si>
  <si>
    <t>75004610</t>
  </si>
  <si>
    <t>UPI/5504726868 UPI/550472686867/19:55:27/UPI/q591159180@ybl/dinn</t>
  </si>
  <si>
    <t>72686867</t>
  </si>
  <si>
    <t>UPI/5504691869 UPI/550469186912/20:10:21/UPI/apollopharmacyoffli</t>
  </si>
  <si>
    <t>69186912</t>
  </si>
  <si>
    <t>UPI/5138834051 UPI/513883405150/20:11:21/UPI/paytm.s1cbtv9@pty/U</t>
  </si>
  <si>
    <t>83405150</t>
  </si>
  <si>
    <t>19-05-25</t>
  </si>
  <si>
    <t>UPI/5139455139 UPI/513945513903/09:04:26/UPI/paytm.s1ev4zm@pty/U</t>
  </si>
  <si>
    <t>45513903</t>
  </si>
  <si>
    <t>UPI/5139409255 UPI/513940925502/12:41:18/UPI/q842095452@ybl/UPI</t>
  </si>
  <si>
    <t>40925502</t>
  </si>
  <si>
    <t>UPI/5139222505 UPI/513922250550/19:37:07/UPI/gpay-utility@okpaya</t>
  </si>
  <si>
    <t>22250550</t>
  </si>
  <si>
    <t>UPI/5139806663 UPI/513980666309/20:34:33/UPI/paytmqr6cmw73@ptys/</t>
  </si>
  <si>
    <t>80666309</t>
  </si>
  <si>
    <t>UPI/5139044586 UPI/513904458652/22:27:06/UPI/rigi678729.rzp@rxai</t>
  </si>
  <si>
    <t>4458652</t>
  </si>
  <si>
    <t>20-05-25</t>
  </si>
  <si>
    <t>UPI/5140398879 UPI/514039887930/08:57:38/UPI/paytm.s1b9xoc@pty/U</t>
  </si>
  <si>
    <t>39887930</t>
  </si>
  <si>
    <t>UPI/5506347135 UPI/550634713520/18:42:58/UPI/paytmqr5o3fx2@ptys/</t>
  </si>
  <si>
    <t>34713520</t>
  </si>
  <si>
    <t>21-05-25</t>
  </si>
  <si>
    <t>UPI/5507490579 UPI/550749057920/12:39:49/UPI/q842095452@ybl/UPI</t>
  </si>
  <si>
    <t>49057920</t>
  </si>
  <si>
    <t>UPI/5507366418 UPI/550736641866/12:40:25/UPI/q842095452@ybl/UPI</t>
  </si>
  <si>
    <t>36641866</t>
  </si>
  <si>
    <t>UPI/5507922624 UPI/550792262448/17:39:52/UPI/q660067264@ybl/UPI</t>
  </si>
  <si>
    <t>92262448</t>
  </si>
  <si>
    <t>UPI/5507613873 UPI/550761387302/19:47:28/UPI/eatclub@ptybl/UPI</t>
  </si>
  <si>
    <t>61387302</t>
  </si>
  <si>
    <t>UPI/5507017413 UPI/550701741368/19:50:43/UPI/eatclub@ptybl/expre</t>
  </si>
  <si>
    <t>1741368</t>
  </si>
  <si>
    <t>UPI/5507659752 UPI/550765975296/19:52:31/UPI/eatclub@ptybl/UPI</t>
  </si>
  <si>
    <t>65975296</t>
  </si>
  <si>
    <t>22-05-25</t>
  </si>
  <si>
    <t>SMS Charges SMS Charges for APR 25</t>
  </si>
  <si>
    <t>UPI/5142975031 UPI/514297503135/08:51:31/UPI/paytm.s1cbtv9@pty/U</t>
  </si>
  <si>
    <t>97503135</t>
  </si>
  <si>
    <t>UPI/5508798984 UPI/550879898480/09:26:50/UPI/paytm-8909634@ptys/</t>
  </si>
  <si>
    <t>79898480</t>
  </si>
  <si>
    <t>UPI/5142775165 UPI/514277516517/12:43:25/UPI/q842095452@ybl/UPI</t>
  </si>
  <si>
    <t>77516517</t>
  </si>
  <si>
    <t>UPI/5142266421 UPI/514226642100/19:29:26/UPI/eatclub@ptybl/UPI</t>
  </si>
  <si>
    <t>26642100</t>
  </si>
  <si>
    <t>23-05-25</t>
  </si>
  <si>
    <t>UPI/5143065639 UPI/514306563939/08:52:16/UPI/paytm.s1ev4zm@pty/U</t>
  </si>
  <si>
    <t>6563939</t>
  </si>
  <si>
    <t>UPI/5143923792 UPI/514392379201/12:50:56/UPI/q842095452@ybl/UPI</t>
  </si>
  <si>
    <t>92379201</t>
  </si>
  <si>
    <t>UPI/5143235685 UPI/514323568505/13:13:30/UPI/q332721858@ybl/UPI</t>
  </si>
  <si>
    <t>23568505</t>
  </si>
  <si>
    <t>UPI/5509628111 UPI/550962811144/18:28:37/UPI/paytmqr6fk4qy@ptys/</t>
  </si>
  <si>
    <t>62811144</t>
  </si>
  <si>
    <t>UPI/5509422101 UPI/550942210188/20:30:34/UPI/paytmqrlioa7f0ehm@p</t>
  </si>
  <si>
    <t>42210188</t>
  </si>
  <si>
    <t>24-05-25</t>
  </si>
  <si>
    <t>UPI/5510261344 UPI/551026134455/09:40:10/UPI/paytmqr69zva8@ptys/</t>
  </si>
  <si>
    <t>26134455</t>
  </si>
  <si>
    <t>UPI/5510636209 UPI/551063620917/09:44:40/UPI/paytm.s1ev4zm@pty/U</t>
  </si>
  <si>
    <t>63620917</t>
  </si>
  <si>
    <t>UPI/5510497423 UPI/551049742372/14:42:23/UPI/q936993870@ybl/UPI</t>
  </si>
  <si>
    <t>49742372</t>
  </si>
  <si>
    <t>UPI/5510328376 UPI/551032837629/14:54:54/UPI/q936993870@ybl/UPI</t>
  </si>
  <si>
    <t>32837629</t>
  </si>
  <si>
    <t>UPI/5510173420 UPI/551017342030/15:20:51/UPI/paytmqr69zwn3@ptys/</t>
  </si>
  <si>
    <t>17342030</t>
  </si>
  <si>
    <t>UPI/5510530510 UPI/551053051046/15:21:54/UPI/paytmqr69zwn3@ptys/</t>
  </si>
  <si>
    <t>53051046</t>
  </si>
  <si>
    <t>UPI/5510523596 UPI/551052359614/15:25:41/UPI/paytm.s1cbtv9@pty/U</t>
  </si>
  <si>
    <t>52359614</t>
  </si>
  <si>
    <t>25-05-25</t>
  </si>
  <si>
    <t>UPI/5511833970 UPI/551183397050/10:30:55/UPI/pawaleu4@okicici/fo</t>
  </si>
  <si>
    <t>83397050</t>
  </si>
  <si>
    <t>UPI/5145212073 UPI/514521207360/11:19:44/UPI/gpay-11249387971@ok</t>
  </si>
  <si>
    <t>21207360</t>
  </si>
  <si>
    <t>UPI/5511497932 UPI/551149793215/11:51:46/UPI/paytmqr6cntnp@ptys/</t>
  </si>
  <si>
    <t>49793215</t>
  </si>
  <si>
    <t>UPI/5145913268 UPI/514591326883/15:00:11/UPI/eatclub@icici/UPI</t>
  </si>
  <si>
    <t>91326883</t>
  </si>
  <si>
    <t>UPI/5145853372 UPI/514585337227/20:58:24/UPI/paytmqr68xe9t@ptys/</t>
  </si>
  <si>
    <t>85337227</t>
  </si>
  <si>
    <t>26-05-25</t>
  </si>
  <si>
    <t>UPI/5146526517 UPI/514652651756/08:45:27/UPI/paytm.s1b9xoc@pty/t</t>
  </si>
  <si>
    <t>52651756</t>
  </si>
  <si>
    <t>UPI/5146763654 UPI/514676365465/12:37:45/UPI/q842095452@ybl/UPI</t>
  </si>
  <si>
    <t>76365465</t>
  </si>
  <si>
    <t>27-05-25</t>
  </si>
  <si>
    <t>UPI/5513006211 UPI/551300621192/09:39:17/UPI/saina98817742@barod</t>
  </si>
  <si>
    <t>621192</t>
  </si>
  <si>
    <t>UPI/5513394079 UPI/551339407962/09:42:15/UPI/paytm.s1ev4zm@pty/U</t>
  </si>
  <si>
    <t>39407962</t>
  </si>
  <si>
    <t>28-05-25</t>
  </si>
  <si>
    <t>UPI/5514281722 UPI/551428172294/08:51:43/UPI/paytm.s1ev4zm@pty/U</t>
  </si>
  <si>
    <t>28172294</t>
  </si>
  <si>
    <t>UPI/5514381875 UPI/551438187593/12:43:05/UPI/q842095452@ybl/UPI</t>
  </si>
  <si>
    <t>38187593</t>
  </si>
  <si>
    <t>UPI/5148578034 UPI/514857803473/18:17:10/UPI/paytmqr5o3fx2@ptys/</t>
  </si>
  <si>
    <t>57803473</t>
  </si>
  <si>
    <t>UPI/5148442769 UPI/514844276951/19:32:47/UPI/bdj3103@oksbi/chaas</t>
  </si>
  <si>
    <t>44276951</t>
  </si>
  <si>
    <t>UPI/5148688056 UPI/514868805669/19:39:25/UPI/gpay-utility@okpaya</t>
  </si>
  <si>
    <t>68805669</t>
  </si>
  <si>
    <t>29-05-25</t>
  </si>
  <si>
    <t>UPI/5149356313 UPI/514935631320/08:46:55/UPI/paytm.s1cbtv9@pty/U</t>
  </si>
  <si>
    <t>35631320</t>
  </si>
  <si>
    <t>UPI/5149966404 UPI/514996640484/12:46:27/UPI/q842095452@ybl/UPI</t>
  </si>
  <si>
    <t>96640484</t>
  </si>
  <si>
    <t>30-05-25</t>
  </si>
  <si>
    <t>DIGITA-MUMBAI/ NEFT-HSBCN15046542685-DASSAULT SYSTEMES INDIA PRIV</t>
  </si>
  <si>
    <t>UPI/5150481987 UPI/515048198712/08:50:58/UPI/paytm.s1cbtv9@pty/U</t>
  </si>
  <si>
    <t>48198712</t>
  </si>
  <si>
    <t>UPI/5150388893 UPI/515038889365/09:27:18/UPI/paytm-8909634@ptys/</t>
  </si>
  <si>
    <t>38889365</t>
  </si>
  <si>
    <t>UPI/5150216988 UPI/515021698832/12:38:09/UPI/q842095452@ybl/UPI</t>
  </si>
  <si>
    <t>21698832</t>
  </si>
  <si>
    <t>01-06-25</t>
  </si>
  <si>
    <t>UPI/5152474167 UPI/515247416700/09:20:50/UPI/paytmqr69zva8@ptys/</t>
  </si>
  <si>
    <t>47416700</t>
  </si>
  <si>
    <t>UPI/5152986204 UPI/515298620461/09:23:36/UPI/paytm.s1b9xoc@pty/U</t>
  </si>
  <si>
    <t>98620461</t>
  </si>
  <si>
    <t>UPI/5152851538 UPI/515285153877/18:39:26/UPI/paytm.s1cbtv9@pty/U</t>
  </si>
  <si>
    <t>85153877</t>
  </si>
  <si>
    <t>02-06-25</t>
  </si>
  <si>
    <t>UPI/5153616868 UPI/515361686884/08:49:07/UPI/paytm.s1cbtv9@pty/U</t>
  </si>
  <si>
    <t>61686884</t>
  </si>
  <si>
    <t>UPI/5519448039 UPI/551944803959/12:46:49/UPI/q842095452@ybl/UPI</t>
  </si>
  <si>
    <t>44803959</t>
  </si>
  <si>
    <t>UPI/5519412253 UPI/551941225309/18:30:13/UPI/myjio.easebuzz@hdfc</t>
  </si>
  <si>
    <t>41225309</t>
  </si>
  <si>
    <t>03-06-25</t>
  </si>
  <si>
    <t>UPI/5520586497 UPI/552058649737/08:49:12/UPI/paytm.s1cbtv9@pty/U</t>
  </si>
  <si>
    <t>58649737</t>
  </si>
  <si>
    <t>UPI/5520504856 UPI/552050485688/12:50:51/UPI/q842095452@ybl/UPI</t>
  </si>
  <si>
    <t>50485688</t>
  </si>
  <si>
    <t>UPI/5520872750 UPI/552087275015/16:13:52/UPI/myjio.easebuzz@hdfc</t>
  </si>
  <si>
    <t>87275015</t>
  </si>
  <si>
    <t>04-06-25</t>
  </si>
  <si>
    <t>UPI/5155212315 UPI/515521231581/08:41:02/UPI/paytm.s1ev4zm@pty/U</t>
  </si>
  <si>
    <t>21231581</t>
  </si>
  <si>
    <t>UPI/5155666407 UPI/515566640743/12:48:00/UPI/q842095452@ybl/UPI</t>
  </si>
  <si>
    <t>66640743</t>
  </si>
  <si>
    <t>UPI/5155854615 UPI/515585461533/18:16:08/UPI/9067887335@ibl/UPI</t>
  </si>
  <si>
    <t>85461533</t>
  </si>
  <si>
    <t>UPI/5155055562 UPI/515505556299/18:20:17/UPI/9067887335@ibl/UPI</t>
  </si>
  <si>
    <t>5556299</t>
  </si>
  <si>
    <t>UPI/5155729735 UPI/515572973539/20:54:38/UPI/paytmqrlioa7f0ehm@p</t>
  </si>
  <si>
    <t>72973539</t>
  </si>
  <si>
    <t>05-06-25</t>
  </si>
  <si>
    <t>UPI/5156133945 UPI/515613394541/08:54:07/UPI/paytm.s1cbtv9@pty/U</t>
  </si>
  <si>
    <t>13394541</t>
  </si>
  <si>
    <t>UPI/5522309041 UPI/552230904154/12:39:29/UPI/q332721858@ybl/UPI</t>
  </si>
  <si>
    <t>30904154</t>
  </si>
  <si>
    <t>UPI/5522598220 UPI/552259822021/17:12:24/UPI/k14520140@oksbi/UPI</t>
  </si>
  <si>
    <t>59822021</t>
  </si>
  <si>
    <t>06-06-25</t>
  </si>
  <si>
    <t>UPI/5523853515 UPI/552385351566/08:44:26/UPI/paytm.s1ev4zm@pty/U</t>
  </si>
  <si>
    <t>85351566</t>
  </si>
  <si>
    <t>UPI/5523800545 UPI/552380054534/12:47:21/UPI/q332721858@ybl/UPI</t>
  </si>
  <si>
    <t>80054534</t>
  </si>
  <si>
    <t>UPI/5523186868 UPI/552318686841/16:48:47/UPI/myjio.easebuzz@hdfc</t>
  </si>
  <si>
    <t>18686841</t>
  </si>
  <si>
    <t>07-06-25</t>
  </si>
  <si>
    <t>UPI/5158068289 UPI/515806828930/09:29:26/UPI/paytmqrg7g8gd3rd3@p</t>
  </si>
  <si>
    <t>6828930</t>
  </si>
  <si>
    <t>UPI/5158331258 UPI/515833125893/09:32:34/UPI/paytm.s1cbtv9@pty/t</t>
  </si>
  <si>
    <t>33125893</t>
  </si>
  <si>
    <t>UPI/5158749358 UPI/515874935832/09:34:38/UPI/paytmqr69zwn3@ptys/</t>
  </si>
  <si>
    <t>74935832</t>
  </si>
  <si>
    <t>UPI/5158921330 UPI/515892133066/09:35:25/UPI/paytmqr69zwn3@ptys/</t>
  </si>
  <si>
    <t>92133066</t>
  </si>
  <si>
    <t>UPI/5158714606 UPI/515871460621/18:25:59/UPI/k14520140@oksbi/UPI</t>
  </si>
  <si>
    <t>71460621</t>
  </si>
  <si>
    <t>UPI/5158830581 UPI/515883058174/18:39:47/UPI/k14520140@oksbi/UPI</t>
  </si>
  <si>
    <t>83058174</t>
  </si>
  <si>
    <t>UPI/5158196648 UPI/515819664854/19:55:31/UPI/9554784375.pnb@axl/</t>
  </si>
  <si>
    <t>19664854</t>
  </si>
  <si>
    <t>UPI/5158909614 UPI/515890961432/20:44:19/UPI/paytmqr63p1dx@ptys/</t>
  </si>
  <si>
    <t>90961432</t>
  </si>
  <si>
    <t>08-06-25</t>
  </si>
  <si>
    <t>UPI/5159618732 UPI/515961873211/00:08:31/UPI/76888628@ibl/UPI</t>
  </si>
  <si>
    <t>61873211</t>
  </si>
  <si>
    <t>UPI/5159387805 UPI/515938780558/08:53:03/UPI/gpay-11231375082@ok</t>
  </si>
  <si>
    <t>38780558</t>
  </si>
  <si>
    <t>UPI/5159162946 UPI/515916294639/10:36:34/UPI/pawaleu4@okicici/fo</t>
  </si>
  <si>
    <t>16294639</t>
  </si>
  <si>
    <t>UPI/5159982904 UPI/515998290480/10:55:19/UPI/q660067264@ybl/nast</t>
  </si>
  <si>
    <t>98290480</t>
  </si>
  <si>
    <t>UPI/5159113835 UPI/515911383540/11:11:20/UPI/q882127987@ybl/UPI</t>
  </si>
  <si>
    <t>11383540</t>
  </si>
  <si>
    <t>UPI/5159809863 UPI/515980986366/11:43:02/UPI/paytmqr69zwn3@ptys/</t>
  </si>
  <si>
    <t>80986366</t>
  </si>
  <si>
    <t>UPI/5525880030 UPI/552588003089/11:43:53/UPI/paytm.s1cbtv9@pty/U</t>
  </si>
  <si>
    <t>88003089</t>
  </si>
  <si>
    <t>09-06-25</t>
  </si>
  <si>
    <t>UPI/5526914503 UPI/552691450366/08:50:44/UPI/paytm.s1cbtv9@pty/U</t>
  </si>
  <si>
    <t>91450366</t>
  </si>
  <si>
    <t>10-06-25</t>
  </si>
  <si>
    <t>UPI/5161383233 UPI/516138323396/08:51:58/UPI/paytm.s1cbtv9@pty/t</t>
  </si>
  <si>
    <t>38323396</t>
  </si>
  <si>
    <t>UPI/5161907319 UPI/516190731915/13:06:09/UPI/q332721858@ybl/UPI</t>
  </si>
  <si>
    <t>90731915</t>
  </si>
  <si>
    <t>UPI/5161014479 UPI/516101447975/18:45:03/UPI/8421911579@axl/UPI</t>
  </si>
  <si>
    <t>1447975</t>
  </si>
  <si>
    <t>11-06-25</t>
  </si>
  <si>
    <t>UPI/5528039058 UPI/552803905896/12:49:52/UPI/q842095452@ybl/UPI</t>
  </si>
  <si>
    <t>3905896</t>
  </si>
  <si>
    <t>UPI/5528125038 UPI/552812503804/18:08:34/UPI/paytmqr5o3fx2@ptys/</t>
  </si>
  <si>
    <t>12503804</t>
  </si>
  <si>
    <t>UPI/5528416125 UPI/552841612511/19:01:48/UPI/mukesh7276587402@ok</t>
  </si>
  <si>
    <t>41612511</t>
  </si>
  <si>
    <t>12-06-25</t>
  </si>
  <si>
    <t>UPI/5529828387 UPI/552982838719/08:47:24/UPI/paytm.s1ev4zm@pty/U</t>
  </si>
  <si>
    <t>82838719</t>
  </si>
  <si>
    <t>UPI/5529259572 UPI/552925957236/12:53:48/UPI/q332721858@ybl/UPI</t>
  </si>
  <si>
    <t>25957236</t>
  </si>
  <si>
    <t>UPI/5163521600 UPI/516352160016/15:13:51/UPI/lamborghini3177@oks</t>
  </si>
  <si>
    <t>52160016</t>
  </si>
  <si>
    <t>UPI/5529241717 UPI/552924171792/15:16:38/UPI/simransunshine23@ok</t>
  </si>
  <si>
    <t>24171792</t>
  </si>
  <si>
    <t>UPI/5529544735 UPI/552954473522/15:29:52/UPI/simransunshine23@ok</t>
  </si>
  <si>
    <t>54473522</t>
  </si>
  <si>
    <t>13-06-25</t>
  </si>
  <si>
    <t>UPI/5164886011 UPI/516488601176/09:41:14/UPI/paytmqrq33eink81m@p</t>
  </si>
  <si>
    <t>88601176</t>
  </si>
  <si>
    <t>UPI/5164896033 UPI/516489603307/09:45:49/UPI/paytmqr69zva8@ptys/</t>
  </si>
  <si>
    <t>89603307</t>
  </si>
  <si>
    <t>UPI/5164576170 UPI/516457617039/09:49:00/UPI/paytm.s1ev4zm@pty/U</t>
  </si>
  <si>
    <t>57617039</t>
  </si>
  <si>
    <t>UPI/5164115194 UPI/516411519430/11:45:00/UPI/9473094900@ybl/UPI</t>
  </si>
  <si>
    <t>11519430</t>
  </si>
  <si>
    <t>UPI/5164397134 UPI/516439713460/13:54:47/UPI/9473094900@ybl/UPI</t>
  </si>
  <si>
    <t>39713460</t>
  </si>
  <si>
    <t>UPI/5164683296 UPI/516468329640/14:13:59/UPI/9473094900@ybl/UPI</t>
  </si>
  <si>
    <t>68329640</t>
  </si>
  <si>
    <t>14-06-25</t>
  </si>
  <si>
    <t>UPI/5165890767 UPI/516589076739/13:50:06/UPI/q693845781@ybl/UPI</t>
  </si>
  <si>
    <t>89076739</t>
  </si>
  <si>
    <t>UPI/5165845797 UPI/516584579761/14:55:49/UPI/paytmqr60bjcj@ptys/</t>
  </si>
  <si>
    <t>84579761</t>
  </si>
  <si>
    <t>UPI/5531913192 UPI/553191319253/19:17:00/UPI/q893929605@ybl/UPI</t>
  </si>
  <si>
    <t>91319253</t>
  </si>
  <si>
    <t>15-06-25</t>
  </si>
  <si>
    <t>UPI/5532834486 UPI/553283448622/12:42:12/UPI/myjio.easebuzz@hdfc</t>
  </si>
  <si>
    <t>83448622</t>
  </si>
  <si>
    <t>UPI/5532263471 UPI/553226347154/14:55:57/UPI/paytm.s1ee7lk@pty/U</t>
  </si>
  <si>
    <t>26347154</t>
  </si>
  <si>
    <t>UPI/5532195643 UPI/553219564332/20:07:19/UPI/rebelmarketplac3708</t>
  </si>
  <si>
    <t>19564332</t>
  </si>
  <si>
    <t>UPI/5532823780 UPI/553282378066/20:13:59/UPI/paytm.s1ev4zm@pty/U</t>
  </si>
  <si>
    <t>82378066</t>
  </si>
  <si>
    <t>16-06-25</t>
  </si>
  <si>
    <t>UPI/5533737996 UPI/553373799651/10:50:51/UPI/paytm.s1ev4zm@pty/U</t>
  </si>
  <si>
    <t>73799651</t>
  </si>
  <si>
    <t>UPI/5533707856 UPI/553370785613/10:54:41/UPI/ombk.aafr26135l625n</t>
  </si>
  <si>
    <t>70785613</t>
  </si>
  <si>
    <t>UPI/5888853416 UPI/588885341675/15:17:24/UPI/playstore@axisbank/</t>
  </si>
  <si>
    <t>85341675</t>
  </si>
  <si>
    <t>UPI/5889232116 UPI/588923211675/15:17:48/UPI/googlepay@axisbank/</t>
  </si>
  <si>
    <t>23211675</t>
  </si>
  <si>
    <t>UPI/5167753194 UPI/516775319482/18:46:15/UPI/paytmqr5o3fx2@ptys/</t>
  </si>
  <si>
    <t>75319482</t>
  </si>
  <si>
    <t>UPI/5167772292 UPI/516777229254/18:57:43/UPI/q143356716@ybl/UPI</t>
  </si>
  <si>
    <t>77229254</t>
  </si>
  <si>
    <t>17-06-25</t>
  </si>
  <si>
    <t>UPI/5168216482 UPI/516821648255/08:50:47/UPI/paytm.s1ev4zm@pty/U</t>
  </si>
  <si>
    <t>21648255</t>
  </si>
  <si>
    <t>UPI/5168317950 UPI/516831795022/20:07:41/UPI/paytmqrlioa7f0ehm@p</t>
  </si>
  <si>
    <t>31795022</t>
  </si>
  <si>
    <t>18-06-25</t>
  </si>
  <si>
    <t>UPI/5169766947 UPI/516976694775/09:00:03/UPI/paytm.s1ev4zm@pty/U</t>
  </si>
  <si>
    <t>76694775</t>
  </si>
  <si>
    <t>UPI/5535942150 UPI/553594215081/09:56:57/UPI/paytm-8909634@ptys/</t>
  </si>
  <si>
    <t>94215081</t>
  </si>
  <si>
    <t>UPI/7966553516 UPI/796655351695/12:24:00/UPI/playstore@axisbank/</t>
  </si>
  <si>
    <t>55351695</t>
  </si>
  <si>
    <t>UPI/7966707016 UPI/796670701695/12:24:21/UPI/googlepay@axisbank/</t>
  </si>
  <si>
    <t>70701695</t>
  </si>
  <si>
    <t>UPI/5535807283 UPI/553580728359/12:46:28/UPI/q842095452@ybl/UPI</t>
  </si>
  <si>
    <t>80728359</t>
  </si>
  <si>
    <t>19-06-25</t>
  </si>
  <si>
    <t>UPI/5536403808 UPI/553640380865/00:20:46/UPI/7597034022@ikwik/UP</t>
  </si>
  <si>
    <t>40380865</t>
  </si>
  <si>
    <t>UPI/5536596719 UPI/553659671989/00:35:48/UPI/7597034022@ikwik/UP</t>
  </si>
  <si>
    <t>59671989</t>
  </si>
  <si>
    <t>UPI/5536113749 UPI/553611374975/09:24:52/UPI/paytm.s1b9xoc@pty/U</t>
  </si>
  <si>
    <t>11374975</t>
  </si>
  <si>
    <t>UPI/5536838950 UPI/553683895092/12:51:45/UPI/q842095452@ybl/UPI</t>
  </si>
  <si>
    <t>83895092</t>
  </si>
  <si>
    <t>UPI/5170517081 UPI/517051708158/17:20:43/UPI/paytmqr5o3fwj@ptys/</t>
  </si>
  <si>
    <t>51708158</t>
  </si>
  <si>
    <t>UPI/5170846212 UPI/517084621218/20:25:41/UPI/paytmqrlioa7f0ehm@p</t>
  </si>
  <si>
    <t>84621218</t>
  </si>
  <si>
    <t>20-06-25</t>
  </si>
  <si>
    <t>UPI/5171174492 UPI/517117449232/09:44:07/UPI/gpay-utility@okpaya</t>
  </si>
  <si>
    <t>17449232</t>
  </si>
  <si>
    <t>UPI/1007966991 UPI/100796699130/10:22:59/UPI/zerodhamf@hdfcbank/</t>
  </si>
  <si>
    <t>96699130</t>
  </si>
  <si>
    <t>UPI/1007966953 UPI/100796695362/10:23:37/UPI/zerodhamf@hdfcbank/</t>
  </si>
  <si>
    <t>96695362</t>
  </si>
  <si>
    <t>UPI/5171792639 UPI/517179263957/10:42:20/UPI/paytmqr6d55ak@ptys/</t>
  </si>
  <si>
    <t>79263957</t>
  </si>
  <si>
    <t>UPI/5171578557 UPI/517157855729/10:45:25/UPI/paytm.s1ev4zm@pty/U</t>
  </si>
  <si>
    <t>57855729</t>
  </si>
  <si>
    <t>21-06-25</t>
  </si>
  <si>
    <t>UPI/5538275294 UPI/553827529447/12:41:51/UPI/paytmqr69zwn3@ptys/</t>
  </si>
  <si>
    <t>27529447</t>
  </si>
  <si>
    <t>UPI/5538185619 UPI/553818561945/18:56:29/UPI/bharatpe09904572695</t>
  </si>
  <si>
    <t>18561945</t>
  </si>
  <si>
    <t>UPI/5538484561 UPI/553848456153/19:13:30/UPI/paytm.s1ev4zm@pty/U</t>
  </si>
  <si>
    <t>48456153</t>
  </si>
  <si>
    <t>UPI/5538410693 UPI/553841069337/19:17:54/UPI/q381642145@ybl/UPI</t>
  </si>
  <si>
    <t>41069337</t>
  </si>
  <si>
    <t>22-06-25</t>
  </si>
  <si>
    <t>UPI/5539737975 UPI/553973797575/10:50:09/UPI/paytm.s1en4af@pty/U</t>
  </si>
  <si>
    <t>73797575</t>
  </si>
  <si>
    <t>UPI/5173225000 UPI/517322500034/12:32:26/UPI/amul.pujari22@oksbi</t>
  </si>
  <si>
    <t>22500034</t>
  </si>
  <si>
    <t>UPI/5173899130 UPI/517389913083/15:42:10/UPI/gpay-utility@okpaya</t>
  </si>
  <si>
    <t>89913083</t>
  </si>
  <si>
    <t>UPI/5173184095 UPI/517318409502/17:52:00/UPI/paytm.s1ev4zm@pty/U</t>
  </si>
  <si>
    <t>18409502</t>
  </si>
  <si>
    <t>23-06-25</t>
  </si>
  <si>
    <t>UPI/5174823610 UPI/517482361056/09:01:55/UPI/paytm.s1cbtv9@pty/U</t>
  </si>
  <si>
    <t>82361056</t>
  </si>
  <si>
    <t>UPI/5174613778 UPI/517461377835/12:48:54/UPI/q332721858@ybl/UPI</t>
  </si>
  <si>
    <t>61377835</t>
  </si>
  <si>
    <t>25-06-25</t>
  </si>
  <si>
    <t>UPI/5542762835 UPI/554276283550/08:58:07/UPI/paytm.s1cbtv9@pty/U</t>
  </si>
  <si>
    <t>76283550</t>
  </si>
  <si>
    <t>UPI/5176943275 UPI/517694327592/17:50:54/UPI/ombk.aaei47344flski</t>
  </si>
  <si>
    <t>94327592</t>
  </si>
  <si>
    <t>UPI/5176883232 UPI/517688323279/19:40:45/UPI/q491756504@ybl/UPI</t>
  </si>
  <si>
    <t>88323279</t>
  </si>
  <si>
    <t>UPI/5176513372 UPI/517651337264/20:28:36/UPI/paytmqrlioa7f0ehm@p</t>
  </si>
  <si>
    <t>51337264</t>
  </si>
  <si>
    <t>UPI/5176206337 UPI/517620633767/20:31:45/UPI/q165006077@ybl/UPI</t>
  </si>
  <si>
    <t>20633767</t>
  </si>
  <si>
    <t>UPI/5176278314 UPI/517627831476/21:09:29/UPI/jagadishthangaraj8-</t>
  </si>
  <si>
    <t>27831476</t>
  </si>
  <si>
    <t>26-06-25</t>
  </si>
  <si>
    <t>UPI/5177039628 UPI/517703962807/09:01:55/UPI/paytm.s1ev4zm@pty/U</t>
  </si>
  <si>
    <t>3962807</t>
  </si>
  <si>
    <t>UPI/5177049470 UPI/517704947043/12:47:04/UPI/q332721858@ybl/UPI</t>
  </si>
  <si>
    <t>4947043</t>
  </si>
  <si>
    <t>27-06-25</t>
  </si>
  <si>
    <t>UPI/5544405034 UPI/554440503418/01:10:34/UPI/gpay-11256234722@ok</t>
  </si>
  <si>
    <t>40503418</t>
  </si>
  <si>
    <t>UPI/5544664502 UPI/554466450249/21:06:13/UPI/jubilantfoodworkslt</t>
  </si>
  <si>
    <t>66450249</t>
  </si>
  <si>
    <t>28-06-25</t>
  </si>
  <si>
    <t>UPI/5179553128 UPI/517955312876/18:55:17/UPI/paytm.s1cbtv9@pty/t</t>
  </si>
  <si>
    <t>55312876</t>
  </si>
  <si>
    <t>30-06-25</t>
  </si>
  <si>
    <t>DIGITA-MUMBAI/ NEFT-HSBCN18153948572-DASSAULT SYSTEMES INDIA PRIV</t>
  </si>
  <si>
    <t>UPI/5181481973 UPI/518148197302/08:59:27/UPI/paytm.s1ev4zm@pty/U</t>
  </si>
  <si>
    <t>48197302</t>
  </si>
  <si>
    <t>UPI/5547814338 UPI/554781433865/19:33:41/UPI/myjio.easebuzz@hdfc</t>
  </si>
  <si>
    <t>81433865</t>
  </si>
  <si>
    <t>01-07-25</t>
  </si>
  <si>
    <t>UPI/5548712677 UPI/554871267747/13:02:31/UPI/q842095452@ybl/UPI</t>
  </si>
  <si>
    <t>71267747</t>
  </si>
  <si>
    <t>02-07-25</t>
  </si>
  <si>
    <t>UPI/5183354253 UPI/518335425371/07:19:30/UPI/myjio.easebuzz@hdfc</t>
  </si>
  <si>
    <t>35425371</t>
  </si>
  <si>
    <t>UPI/5183479197 UPI/518347919792/08:59:10/UPI/paytm.s1ev4zm@pty/U</t>
  </si>
  <si>
    <t>47919792</t>
  </si>
  <si>
    <t>UPI/5183620372 UPI/518362037261/12:49:26/UPI/q332721858@ybl/UPI</t>
  </si>
  <si>
    <t>62037261</t>
  </si>
  <si>
    <t>UPI/5183816479 UPI/518381647986/17:46:39/UPI/ombk.aafl20079qtovs</t>
  </si>
  <si>
    <t>81647986</t>
  </si>
  <si>
    <t>UPI/5183326833 UPI/518332683374/20:34:03/UPI/myjio.easebuzz@hdfc</t>
  </si>
  <si>
    <t>32683374</t>
  </si>
  <si>
    <t>03-07-25</t>
  </si>
  <si>
    <t>UPI/5550634407 UPI/555063440761/23:07:54/UPI/q596495576@ybl/UPI</t>
  </si>
  <si>
    <t>63440761</t>
  </si>
  <si>
    <t>06-07-25</t>
  </si>
  <si>
    <t>UPI/5553218034 UPI/555321803445/10:52:37/UPI/paytm.s1en4af@pty/U</t>
  </si>
  <si>
    <t>21803445</t>
  </si>
  <si>
    <t>UPI/5553932234 UPI/555393223429/11:19:11/UPI/smit.savaliya7-1@ok</t>
  </si>
  <si>
    <t>93223429</t>
  </si>
  <si>
    <t>07-07-25</t>
  </si>
  <si>
    <t>UPI/5554712604 UPI/555471260458/11:50:52/UPI/amul.pujari22@oksbi</t>
  </si>
  <si>
    <t>71260458</t>
  </si>
  <si>
    <t>UPI/5554227558 UPI/555422755838/12:40:19/UPI/q842095452@ybl/UPI</t>
  </si>
  <si>
    <t>22755838</t>
  </si>
  <si>
    <t>UPI/5554805876 UPI/555480587624/17:35:05/UPI/paytmqr5o3fwj@ptys/</t>
  </si>
  <si>
    <t>80587624</t>
  </si>
  <si>
    <t>08-07-25</t>
  </si>
  <si>
    <t>UPI/5189137164 UPI/518913716475/08:52:53/UPI/paytm.s1ev4zm@pty/U</t>
  </si>
  <si>
    <t>13716475</t>
  </si>
  <si>
    <t>UPI/5189682259 UPI/518968225906/10:26:18/UPI/zerodhabroking@hdfc</t>
  </si>
  <si>
    <t>68225906</t>
  </si>
  <si>
    <t>UPI/5189343279 UPI/518934327937/12:04:56/UPI/myjio.easebuzz@hdfc</t>
  </si>
  <si>
    <t>34327937</t>
  </si>
  <si>
    <t>UPI/5189628459 UPI/518962845980/12:45:19/UPI/q332721858@ybl/UPI</t>
  </si>
  <si>
    <t>62845980</t>
  </si>
  <si>
    <t>09-07-25</t>
  </si>
  <si>
    <t>UPI/5190322911 UPI/519032291132/08:59:39/UPI/paytm.s1ev4zm@pty/U</t>
  </si>
  <si>
    <t>32291132</t>
  </si>
  <si>
    <t>10-07-25</t>
  </si>
  <si>
    <t>UPI/5557320731 UPI/555732073186/08:55:32/UPI/paytm.s1ev4zm@pty/U</t>
  </si>
  <si>
    <t>32073186</t>
  </si>
  <si>
    <t>UPI/5557751801 UPI/555775180135/12:41:38/UPI/q332721858@ybl/UPI</t>
  </si>
  <si>
    <t>75180135</t>
  </si>
  <si>
    <t>UPI/5557123787 UPI/555712378744/17:17:20/UPI/ombk.aaei47344flski</t>
  </si>
  <si>
    <t>12378744</t>
  </si>
  <si>
    <t>11-07-25</t>
  </si>
  <si>
    <t>UPI/5192953347 UPI/519295334763/09:03:32/UPI/paytm.s1fcsct@pty/U</t>
  </si>
  <si>
    <t>95334763</t>
  </si>
  <si>
    <t>UPI/5192462735 UPI/519246273521/12:44:47/UPI/q842095452@ybl/UPI</t>
  </si>
  <si>
    <t>46273521</t>
  </si>
  <si>
    <t>UPI/5192736682 UPI/519273668227/13:06:13/UPI/q917691126@ybl/UPI</t>
  </si>
  <si>
    <t>73668227</t>
  </si>
  <si>
    <t>UPI/5192619974 UPI/519261997412/19:17:13/UPI/knikwade79@ybl/Dhru</t>
  </si>
  <si>
    <t>61997412</t>
  </si>
  <si>
    <t>12-07-25</t>
  </si>
  <si>
    <t>UPI/5559369281 UPI/555936928105/10:26:00/UPI/paytmqr6d55ak@ptys/</t>
  </si>
  <si>
    <t>36928105</t>
  </si>
  <si>
    <t>UPI/5559336257 UPI/555933625772/10:34:03/UPI/paytm.s1ev4zm@pty/U</t>
  </si>
  <si>
    <t>33625772</t>
  </si>
  <si>
    <t>UPI/5559956355 UPI/555995635594/14:07:08/UPI/q298812017@ybl/UPI</t>
  </si>
  <si>
    <t>95635594</t>
  </si>
  <si>
    <t>UPI/5559524589 UPI/555952458988/14:50:12/UPI/paytmqr6a0nni@ptys/</t>
  </si>
  <si>
    <t>52458988</t>
  </si>
  <si>
    <t>UPI/5559048572 UPI/555904857286/14:51:32/UPI/paytmqr69zwn3@ptys/</t>
  </si>
  <si>
    <t>4857286</t>
  </si>
  <si>
    <t>UPI/5559547895 UPI/555954789515/20:19:03/UPI/paytmqrlioa7f0ehm@p</t>
  </si>
  <si>
    <t>54789515</t>
  </si>
  <si>
    <t>13-07-25</t>
  </si>
  <si>
    <t>UPI/5194777067 UPI/519477706739/10:25:41/UPI/paytmqr5o3ne7@ptys/</t>
  </si>
  <si>
    <t>77706739</t>
  </si>
  <si>
    <t>UPI/5560057922 UPI/556005792259/10:46:43/UPI/8888314784@ibl/binb</t>
  </si>
  <si>
    <t>5792259</t>
  </si>
  <si>
    <t>UPI/5194759299 UPI/519475929930/14:55:21/UPI/jubilantfoodworksli</t>
  </si>
  <si>
    <t>75929930</t>
  </si>
  <si>
    <t>UPI/5194465474 UPI/519446547403/19:39:59/UPI/paytmqr5o3fwj@ptys/</t>
  </si>
  <si>
    <t>46547403</t>
  </si>
  <si>
    <t>14-07-25</t>
  </si>
  <si>
    <t>UPI/5195223599 UPI/519522359921/09:02:10/UPI/paytm.s1ev4zm@pty/U</t>
  </si>
  <si>
    <t>22359921</t>
  </si>
  <si>
    <t>15-07-25</t>
  </si>
  <si>
    <t>UPI/5562247396 UPI/556224739662/08:54:35/UPI/paytm.s1ev4zm@pty/U</t>
  </si>
  <si>
    <t>24739662</t>
  </si>
  <si>
    <t>UPI/5562703789 UPI/556270378910/17:38:18/UPI/q323325093@ybl/bike</t>
  </si>
  <si>
    <t>70378910</t>
  </si>
  <si>
    <t>16-07-25</t>
  </si>
  <si>
    <t>UPI/5197152026 UPI/519715202648/09:01:52/UPI/paytm.s1ev4zm@pty/U</t>
  </si>
  <si>
    <t>15202648</t>
  </si>
  <si>
    <t>UPI/5197816172 UPI/519781617294/12:54:10/UPI/q842095452@ybl/UPI</t>
  </si>
  <si>
    <t>81617294</t>
  </si>
  <si>
    <t>UPI/5197130337 UPI/519713033797/13:15:08/UPI/q917691126@ybl/UPI</t>
  </si>
  <si>
    <t>13033797</t>
  </si>
  <si>
    <t>17-07-25</t>
  </si>
  <si>
    <t>UPI/5198971859 UPI/519897185947/00:06:07/UPI/gudiyameena01011-1@</t>
  </si>
  <si>
    <t>97185947</t>
  </si>
  <si>
    <t>UPI/5198971932 UPI/519897193259/09:07:32/UPI/paytm.s1fcsct@pty/U</t>
  </si>
  <si>
    <t>97193259</t>
  </si>
  <si>
    <t>UPI/5198433966 UPI/519843396626/12:46:21/UPI/eatclub@ptybl/UPI</t>
  </si>
  <si>
    <t>43396626</t>
  </si>
  <si>
    <t>UPI/5564002162 UPI/556400216261/18:56:51/UPI/paytm.s1fcsct@pty/U</t>
  </si>
  <si>
    <t>216261</t>
  </si>
  <si>
    <t>UPI/1009985276 UPI/100998527685/22:12:43/UPI/zerodhamf@hdfcbank/</t>
  </si>
  <si>
    <t>98527685</t>
  </si>
  <si>
    <t>UPI/1009985290 UPI/100998529078/22:13:14/UPI/zerodhamf@hdfcbank/</t>
  </si>
  <si>
    <t>98529078</t>
  </si>
  <si>
    <t>18-07-25</t>
  </si>
  <si>
    <t>UPI/5565870527 UPI/556587052737/10:33:13/UPI/paytm.s1ev4zm@pty/U</t>
  </si>
  <si>
    <t>87052737</t>
  </si>
  <si>
    <t>UPI/5565111729 UPI/556511172982/13:45:17/UPI/patelaaruu2005-1@ok</t>
  </si>
  <si>
    <t>11172982</t>
  </si>
  <si>
    <t>UPI/5565122982 UPI/556512298256/18:42:46/UPI/paytm.s1ev4zm@pty/U</t>
  </si>
  <si>
    <t>12298256</t>
  </si>
  <si>
    <t>UPI/5199521220 UPI/519952122058/21:27:25/UPI/gpay-utility@okpaya</t>
  </si>
  <si>
    <t>52122058</t>
  </si>
  <si>
    <t>UPI/5199462298 UPI/519946229811/21:31:29/UPI/gpay-utility@okpaya</t>
  </si>
  <si>
    <t>46229811</t>
  </si>
  <si>
    <t>19-07-25</t>
  </si>
  <si>
    <t>UPI/5200704192 UPI/520070419298/07:35:09/UPI/paytm.s1fcsct@pty/U</t>
  </si>
  <si>
    <t>70419298</t>
  </si>
  <si>
    <t>UPI/5200910367 UPI/520091036760/11:26:20/UPI/paytmqr69zva8@ptys/</t>
  </si>
  <si>
    <t>91036760</t>
  </si>
  <si>
    <t>UPI/5200685333 UPI/520068533394/11:31:47/UPI/paytmqr6d5n4h@ptys/</t>
  </si>
  <si>
    <t>68533394</t>
  </si>
  <si>
    <t>UPI/5200163320 UPI/520016332020/11:32:29/UPI/paytmqr6d5n4h@ptys/</t>
  </si>
  <si>
    <t>16332020</t>
  </si>
  <si>
    <t>UPI/5200089714 UPI/520008971468/18:09:25/UPI/paytm.s1fcsct@pty/U</t>
  </si>
  <si>
    <t>8971468</t>
  </si>
  <si>
    <t>UPI/5200693757 UPI/520069375721/18:17:56/UPI/pinelabs.10607624@h</t>
  </si>
  <si>
    <t>69375721</t>
  </si>
  <si>
    <t>20-07-25</t>
  </si>
  <si>
    <t>UPI/5567206010 UPI/556720601002/06:57:03/UPI/q275399651@ybl/petr</t>
  </si>
  <si>
    <t>20601002</t>
  </si>
  <si>
    <t>21-07-25</t>
  </si>
  <si>
    <t>UPI/5568637811 UPI/556863781116/08:59:22/UPI/paytm.s1ev4zm@pty/U</t>
  </si>
  <si>
    <t>63781116</t>
  </si>
  <si>
    <t>UPI/5568492778 UPI/556849277840/10:17:14/UPI/swarawadatkar2002@o</t>
  </si>
  <si>
    <t>49277840</t>
  </si>
  <si>
    <t>UPI/5568331954 UPI/556833195415/13:16:17/UPI/q332721858@ybl/UPI</t>
  </si>
  <si>
    <t>33195415</t>
  </si>
  <si>
    <t>22-07-25</t>
  </si>
  <si>
    <t>UPI/5203562900 UPI/520356290099/17:54:39/UPI/paytmqr5o3fx2@ptys/</t>
  </si>
  <si>
    <t>56290099</t>
  </si>
  <si>
    <t>23-07-25</t>
  </si>
  <si>
    <t>UPI/5570862114 UPI/557086211449/09:02:36/UPI/paytm.s1ev4zm@pty/U</t>
  </si>
  <si>
    <t>86211449</t>
  </si>
  <si>
    <t>UPI/5570044506 UPI/557004450680/17:32:08/UPI/ombk.aadb78774143s1</t>
  </si>
  <si>
    <t>4450680</t>
  </si>
  <si>
    <t>UPI/5570283564 UPI/557028356458/18:25:50/UPI/q871496766@ybl/UPI</t>
  </si>
  <si>
    <t>28356458</t>
  </si>
  <si>
    <t>24-07-25</t>
  </si>
  <si>
    <t>UPI/5205161015 UPI/520516101542/09:08:27/UPI/paytm.s1ev4zm@pty/U</t>
  </si>
  <si>
    <t>16101542</t>
  </si>
  <si>
    <t>UPI/5571716983 UPI/557171698309/13:28:32/UPI/q583264499@ybl/UPI</t>
  </si>
  <si>
    <t>71698309</t>
  </si>
  <si>
    <t>UPI/5205546462 UPI/520554646272/19:33:56/UPI/eatclub@icici/UPI</t>
  </si>
  <si>
    <t>54646272</t>
  </si>
  <si>
    <t>25-07-25</t>
  </si>
  <si>
    <t>UPI/5206763705 UPI/520676370557/09:29:47/UPI/paytm.s1ev4zm@pty/U</t>
  </si>
  <si>
    <t>76370557</t>
  </si>
  <si>
    <t>SMS Charges SMS Charges for JUN 25</t>
  </si>
  <si>
    <t>UPI/5206180832 UPI/520618083267/12:59:58/UPI/q842095452@ybl/UPI</t>
  </si>
  <si>
    <t>18083267</t>
  </si>
  <si>
    <t>26-07-25</t>
  </si>
  <si>
    <t>UPI/5573739487 UPI/557373948747/09:31:34/UPI/myjio.easebuzz@hdfc</t>
  </si>
  <si>
    <t>73948747</t>
  </si>
  <si>
    <t>UPI/5573671341 UPI/557367134180/09:46:48/UPI/q852539445@ybl/UPI</t>
  </si>
  <si>
    <t>67134180</t>
  </si>
  <si>
    <t>UPI/5573048621 UPI/557304862150/11:30:16/UPI/paytm.s1en4af@pty/U</t>
  </si>
  <si>
    <t>4862150</t>
  </si>
  <si>
    <t>UPI/5573609614 UPI/557360961453/11:36:51/UPI/q271339790@ybl/UPI</t>
  </si>
  <si>
    <t>60961453</t>
  </si>
  <si>
    <t>UPI/5573311431 UPI/557331143110/11:57:10/UPI/paytm.s1ev4zm@pty/U</t>
  </si>
  <si>
    <t>31143110</t>
  </si>
  <si>
    <t>27-07-25</t>
  </si>
  <si>
    <t>UPI/5208050249 UPI/520805024900/10:58:19/UPI/paytm.s1ev4zm@pty/U</t>
  </si>
  <si>
    <t>5024900</t>
  </si>
  <si>
    <t>UPI/5208618638 UPI/520861863853/20:35:43/UPI/pinelabs.stq2708758</t>
  </si>
  <si>
    <t>61863853</t>
  </si>
  <si>
    <t>28-07-25</t>
  </si>
  <si>
    <t>UPI/5209709961 UPI/520970996175/09:15:38/UPI/paytm.s1fcsct@pty/U</t>
  </si>
  <si>
    <t>70996175</t>
  </si>
  <si>
    <t>UPI/5575145052 UPI/557514505209/12:53:02/UPI/q842095452@ybl/UPI</t>
  </si>
  <si>
    <t>14505209</t>
  </si>
  <si>
    <t>UPI/5575219148 UPI/557521914859/18:02:16/UPI/paytmqr60vpo3@ptys/</t>
  </si>
  <si>
    <t>21914859</t>
  </si>
  <si>
    <t>UPI/5575036359 UPI/557503635923/20:25:46/UPI/myjio.easebuzz@hdfc</t>
  </si>
  <si>
    <t>3635923</t>
  </si>
  <si>
    <t>29-07-25</t>
  </si>
  <si>
    <t>UPI/5576341507 UPI/557634150728/08:59:04/UPI/paytm.s1fcsct@pty/U</t>
  </si>
  <si>
    <t>34150728</t>
  </si>
  <si>
    <t>UPI/5576561684 UPI/557656168473/12:58:02/UPI/q842095452@ybl/UPI</t>
  </si>
  <si>
    <t>56168473</t>
  </si>
  <si>
    <t>UPI/5210039078 UPI/521003907850/17:36:37/UPI/paytmqr5o3fwj@ptys/</t>
  </si>
  <si>
    <t>3907850</t>
  </si>
  <si>
    <t>UPI/1089083277 UPI/108908327729/20:23:42/UPI/parthdhorajiya365-1</t>
  </si>
  <si>
    <t>8327729</t>
  </si>
  <si>
    <t>UPI/5210529107 UPI/521052910700/20:51:07/UPI/paytmqrlioa7f0ehm@p</t>
  </si>
  <si>
    <t>52910700</t>
  </si>
  <si>
    <t>30-07-25</t>
  </si>
  <si>
    <t>UPI/5211217367 UPI/521121736743/09:13:25/UPI/paytm.s1ev4zm@pty/U</t>
  </si>
  <si>
    <t>21736743</t>
  </si>
  <si>
    <t>UPI/5211281492 UPI/521128149281/12:55:07/UPI/q842095452@ybl/UPI</t>
  </si>
  <si>
    <t>28149281</t>
  </si>
  <si>
    <t>UPI/1089337727 UPI/108933772761/12:55:45/UPI/yeshpetkar1@okhdfcb</t>
  </si>
  <si>
    <t>33772761</t>
  </si>
  <si>
    <t>UPI/5211431611 UPI/521143161157/16:53:35/UPI/ombk.aaei47349flski</t>
  </si>
  <si>
    <t>43161157</t>
  </si>
  <si>
    <t>31-07-25</t>
  </si>
  <si>
    <t>UPI/5578661010 UPI/557866101067/09:16:25/UPI/paytm.s1ev4zm@pty/U</t>
  </si>
  <si>
    <t>66101067</t>
  </si>
  <si>
    <t>UPI/5578775260 UPI/557877526009/12:54:04/UPI/q842095452@ybl/UPI</t>
  </si>
  <si>
    <t>77526009</t>
  </si>
  <si>
    <t>01-08-25</t>
  </si>
  <si>
    <t>UPI/5579277928 UPI/557927792846/10:28:12/UPI/paytm.s1fcsct@pty/U</t>
  </si>
  <si>
    <t>27792846</t>
  </si>
  <si>
    <t>UPI/5213970129 UPI/521397012933/14:22:26/UPI/eatclub@ptybl/UPI</t>
  </si>
  <si>
    <t>97012933</t>
  </si>
  <si>
    <t>UPI/5213579377 UPI/521357937738/17:52:50/UPI/paytmqr6a0nni@ptys/</t>
  </si>
  <si>
    <t>57937738</t>
  </si>
  <si>
    <t>UPI/5213293360 UPI/521329336067/17:59:14/UPI/paytm.s1fcsct@pty/U</t>
  </si>
  <si>
    <t>29336067</t>
  </si>
  <si>
    <t>UPI/5213271335 UPI/521327133521/18:27:01/UPI/9075575190@ybl/bike</t>
  </si>
  <si>
    <t>27133521</t>
  </si>
  <si>
    <t>02-08-25</t>
  </si>
  <si>
    <t>:Int.Pd:01-05- 33590100007037:Int.Pd:01-05-2025 to 31-07-2025</t>
  </si>
  <si>
    <t>UPI/5214373717 UPI/521437371724/10:25:16/UPI/paytm.s1ev4zm@pty/U</t>
  </si>
  <si>
    <t>37371724</t>
  </si>
  <si>
    <t>UPI/8717068521 UPI/871706852145/11:10:15/UPI/parthdhorajiya365@p</t>
  </si>
  <si>
    <t>6852145</t>
  </si>
  <si>
    <t>UPI/5214122935 UPI/521412293572/13:56:36/UPI/paytmqrlioa7f0ehm@p</t>
  </si>
  <si>
    <t>12293572</t>
  </si>
  <si>
    <t>UPI/5214436939 UPI/521443693993/14:05:02/UPI/q381642145@ybl/UPI</t>
  </si>
  <si>
    <t>43693993</t>
  </si>
  <si>
    <t>UPI/5580609440 UPI/558060944049/20:31:50/UPI/paytmqr6d5n4h@ptys/</t>
  </si>
  <si>
    <t>60944049</t>
  </si>
  <si>
    <t>03-08-25</t>
  </si>
  <si>
    <t>UPI/5581694565 UPI/558169456557/07:13:36/UPI/paytm.s1ev4zm@pty/U</t>
  </si>
  <si>
    <t>69456557</t>
  </si>
  <si>
    <t>UPI/5581223589 UPI/558122358956/13:24:07/UPI/paytmqrlioa7f0ehm@p</t>
  </si>
  <si>
    <t>22358956</t>
  </si>
  <si>
    <t>UPI/5215273160 UPI/521527316074/18:01:42/UPI/paytmqr5o3fwj@ptys/</t>
  </si>
  <si>
    <t>27316074</t>
  </si>
  <si>
    <t>UPI/5215079054 UPI/521507905402/19:51:20/UPI/eatclub@icici/UPI</t>
  </si>
  <si>
    <t>7905402</t>
  </si>
  <si>
    <t>04-08-25</t>
  </si>
  <si>
    <t>UPI/5216745393 UPI/521674539373/10:04:58/UPI/paytmqr69zva8@ptys/</t>
  </si>
  <si>
    <t>74539373</t>
  </si>
  <si>
    <t>UPI/5216296349 UPI/521629634906/10:12:49/UPI/paytm.s1ev4zm@pty/U</t>
  </si>
  <si>
    <t>29634906</t>
  </si>
  <si>
    <t>UPI/5216642538 UPI/521664253873/12:30:47/UPI/paytm-64359761@ptys</t>
  </si>
  <si>
    <t>64253873</t>
  </si>
  <si>
    <t>UPI/5216365476 UPI/521636547610/12:34:50/UPI/q352284219@ybl/UPI</t>
  </si>
  <si>
    <t>36547610</t>
  </si>
  <si>
    <t>UPI/5216135667 UPI/521613566780/14:26:01/UPI/q381642145@ybl/UPI</t>
  </si>
  <si>
    <t>13566780</t>
  </si>
  <si>
    <t>UPI/5216868847 UPI/521686884705/18:46:59/UPI/paytm.s1ev4zm@pty/U</t>
  </si>
  <si>
    <t>86884705</t>
  </si>
  <si>
    <t>05-08-25</t>
  </si>
  <si>
    <t>UPI/5583266255 UPI/558326625530/10:51:03/UPI/paytm.s1ev4zm@pty/U</t>
  </si>
  <si>
    <t>26625530</t>
  </si>
  <si>
    <t>UPI/5583892165 UPI/558389216561/11:01:39/UPI/paytmqr6d55ak@ptys/</t>
  </si>
  <si>
    <t>89216561</t>
  </si>
  <si>
    <t>UPI/5583930801 UPI/558393080185/21:06:58/UPI/9096462489-2@ybl/bi</t>
  </si>
  <si>
    <t>93080185</t>
  </si>
  <si>
    <t>06-08-25</t>
  </si>
  <si>
    <t>UPI/5218481124 UPI/521848112418/11:06:01/UPI/paytmqr6d5avd@ptys/</t>
  </si>
  <si>
    <t>48112418</t>
  </si>
  <si>
    <t>UPI/5584492975 UPI/558449297599/11:11:24/UPI/paytm.s1ev4zm@pty/U</t>
  </si>
  <si>
    <t>49297599</t>
  </si>
  <si>
    <t>UPI/5218373157 UPI/521837315753/14:27:22/UPI/eatclub@icici/UPI</t>
  </si>
  <si>
    <t>37315753</t>
  </si>
  <si>
    <t>UPI/5218316155 UPI/521831615502/17:35:40/UPI/amul.pujari22@oksbi</t>
  </si>
  <si>
    <t>31615502</t>
  </si>
  <si>
    <t>07-08-25</t>
  </si>
  <si>
    <t>UPI/5219502873 UPI/521950287365/12:57:07/UPI/myjio.easebuzz@hdfc</t>
  </si>
  <si>
    <t>50287365</t>
  </si>
  <si>
    <t>09-08-25</t>
  </si>
  <si>
    <t>UPI/5221411675 UPI/522141167533/10:55:02/UPI/paytmqrfaer2nzl3c@p</t>
  </si>
  <si>
    <t>41167533</t>
  </si>
  <si>
    <t>10-08-25</t>
  </si>
  <si>
    <t>UPI/5588377948 UPI/558837794899/21:02:30/UPI/nmcwater@axl/Paymen</t>
  </si>
  <si>
    <t>37794899</t>
  </si>
  <si>
    <t>17-08-25</t>
  </si>
  <si>
    <t>UPI/1012283354 UPI/101228335470/19:09:55/UPI/zerodhamf@hdfcbank/</t>
  </si>
  <si>
    <t>28335470</t>
  </si>
  <si>
    <t>UPI/1012283445 UPI/101228344529/19:10:31/UPI/zerodhamf@hdfcbank/</t>
  </si>
  <si>
    <t>28344529</t>
  </si>
  <si>
    <t>19-08-25</t>
  </si>
  <si>
    <t>UPI/5231279328 UPI/523127932833/12:18:18/UPI/msedcl2.1758220200.</t>
  </si>
  <si>
    <t>27932833</t>
  </si>
  <si>
    <t>UPI/5231249488 UPI/523124948847/17:36:23/UPI/paytm-64670120@ptys</t>
  </si>
  <si>
    <t>24948847</t>
  </si>
  <si>
    <t>UPI/5231016700 UPI/523101670036/21:35:51/UPI/gpay-11240865474@ok</t>
  </si>
  <si>
    <t>1670036</t>
  </si>
  <si>
    <t>UPI/5231539675 UPI/523153967582/23:58:31/UPI/q591213124@ybl/UPI</t>
  </si>
  <si>
    <t>53967582</t>
  </si>
  <si>
    <t>20-08-25</t>
  </si>
  <si>
    <t>UPI/5232862822 UPI/523286282201/12:15:42/UPI/gpay-insurance@okpa</t>
  </si>
  <si>
    <t>86282201</t>
  </si>
  <si>
    <t>21-08-25</t>
  </si>
  <si>
    <t>UPI/5599216641 UPI/559921664110/13:59:20/UPI/paytmqr64lpt6@ptys/</t>
  </si>
  <si>
    <t>21664110</t>
  </si>
  <si>
    <t>24-08-25</t>
  </si>
  <si>
    <t>UPI/5236100086 UPI/523610008689/17:15:13/UPI/q698278531@ybl/jog</t>
  </si>
  <si>
    <t>10008689</t>
  </si>
  <si>
    <t>UPI/5602634953 UPI/560263495331/17:28:12/UPI/gpay-11262999538@ok</t>
  </si>
  <si>
    <t>63495331</t>
  </si>
  <si>
    <t>UPI/5236177058 UPI/523617705816/17:32:15/UPI/paytmqr1cid294dri@p</t>
  </si>
  <si>
    <t>17705816</t>
  </si>
  <si>
    <t>UPI/2432371636 UPI/243237163664/19:12:43/UPI/9879917004@ybl/Paym</t>
  </si>
  <si>
    <t>37163664</t>
  </si>
  <si>
    <t>25-08-25</t>
  </si>
  <si>
    <t>UPI/5237764932 UPI/523776493248/10:19:45/UPI/playgames@idfcbank/</t>
  </si>
  <si>
    <t>76493248</t>
  </si>
  <si>
    <t>UPI/5237809721 UPI/523780972157/18:15:25/UPI/tataaiggenerali6551</t>
  </si>
  <si>
    <t>80972157</t>
  </si>
  <si>
    <t>26-08-25</t>
  </si>
  <si>
    <t>UPI/5604250176 UPI/560425017663/10:48:31/UPI/gpay-utility@okpaya</t>
  </si>
  <si>
    <t>25017663</t>
  </si>
  <si>
    <t>UPI/5604032564 UPI/560403256494/17:43:23/UPI/myjio.easebuzz@hdfc</t>
  </si>
  <si>
    <t>3256494</t>
  </si>
  <si>
    <t>UPI/5604715571 UPI/560471557123/18:50:40/UPI/myjio.easebuzz@hdfc</t>
  </si>
  <si>
    <t>71557123</t>
  </si>
  <si>
    <t>01-09-25</t>
  </si>
  <si>
    <t>UPI/5610028434 UPI/561002843450/10:31:09/UPI/amul.pujari22@oksbi</t>
  </si>
  <si>
    <t>2843450</t>
  </si>
  <si>
    <t>UPI/5610800830 UPI/561080083008/21:07:52/UPI/9699040338@ibl/UPI</t>
  </si>
  <si>
    <t>80083008</t>
  </si>
  <si>
    <t>03-09-25</t>
  </si>
  <si>
    <t>DIGITA-MUMBAI/ NEFT-HSBCN24672608977-DASSAULT SYSTEMES INDIA PRIV</t>
  </si>
  <si>
    <t>UPI/5612821107 UPI/561282110783/18:52:11/UPI/myjio.easebuzz@hdfc</t>
  </si>
  <si>
    <t>82110783</t>
  </si>
  <si>
    <t>05-09-25</t>
  </si>
  <si>
    <t>UPI/5248942203 UPI/524894220392/09:42:20/UPI/myjio.easebuzz@hdfc</t>
  </si>
  <si>
    <t>94220392</t>
  </si>
  <si>
    <t>06-09-25</t>
  </si>
  <si>
    <t>UPI/5615218333 UPI/561521833315/18:01:05/UPI/myjio.easebuzz@hdfc</t>
  </si>
  <si>
    <t>21833315</t>
  </si>
  <si>
    <t>UPI/5615041242 UPI/561504124270/18:46:10/UPI/hrdvpatel@okicici/U</t>
  </si>
  <si>
    <t>4124270</t>
  </si>
  <si>
    <t>13-09-25</t>
  </si>
  <si>
    <t>DIGITA-MUMBAI/ NEFT-YESF352562590914-ZERODHA BROKING LTD-DSCNB A/</t>
  </si>
  <si>
    <t>UPI/5622440865 UPI/562244086548/13:17:36/UPI/q792011871@ybl/xero</t>
  </si>
  <si>
    <t>44086548</t>
  </si>
  <si>
    <t>UPI/5622538932 UPI/562253893268/13:29:02/UPI/yeshpetkar1@okaxis/</t>
  </si>
  <si>
    <t>53893268</t>
  </si>
  <si>
    <t>UPI/5256921123 UPI/525692112377/13:48:26/UPI/paytmqr62tgmj@ptys/</t>
  </si>
  <si>
    <t>92112377</t>
  </si>
  <si>
    <t>14-09-25</t>
  </si>
  <si>
    <t>UPI/5257237352 UPI/525723735271/07:12:16/UPI/nmcwater@axl/Paymen</t>
  </si>
  <si>
    <t>23735271</t>
  </si>
  <si>
    <t>15-09-25</t>
  </si>
  <si>
    <t>UPI/5624942394 UPI/562494239434/16:40:31/UPI/gpay-11260545331@ok</t>
  </si>
  <si>
    <t>94239434</t>
  </si>
  <si>
    <t>17-09-25</t>
  </si>
  <si>
    <t>UPI/5260337624 UPI/526033762460/16:33:21/UPI/redbus1online.gpay@</t>
  </si>
  <si>
    <t>33762460</t>
  </si>
  <si>
    <t>UPI/5260412798 UPI/526041279865/19:44:03/UPI/9112934013@kotak811</t>
  </si>
  <si>
    <t>41279865</t>
  </si>
  <si>
    <t>18-09-25</t>
  </si>
  <si>
    <t>UPI/5627591374 UPI/562759137480/17:36:03/UPI/myjio.easebuzz@hdfc</t>
  </si>
  <si>
    <t>59137480</t>
  </si>
  <si>
    <t>19-09-25</t>
  </si>
  <si>
    <t>UPI/5628293894 UPI/562829389495/14:17:39/UPI/myjio.easebuzz@hdfc</t>
  </si>
  <si>
    <t>29389495</t>
  </si>
  <si>
    <t>20-09-25</t>
  </si>
  <si>
    <t>UPI/5263770250 UPI/526377025072/10:26:33/UPI/gpay-12190146046@ok</t>
  </si>
  <si>
    <t>77025072</t>
  </si>
  <si>
    <t>UPI/5263490778 UPI/526349077812/20:18:18/UPI/medplusswavlambinag</t>
  </si>
  <si>
    <t>49077812</t>
  </si>
  <si>
    <t>21-09-25</t>
  </si>
  <si>
    <t>UPI/5264297754 UPI/526429775473/08:55:00/UPI/msedcl2.1760812200.</t>
  </si>
  <si>
    <t>29775473</t>
  </si>
  <si>
    <t>UPI/5264727755 UPI/526472775527/08:55:45/UPI/8329932588@kotak811</t>
  </si>
  <si>
    <t>72775527</t>
  </si>
  <si>
    <t>UPI/5264144917 UPI/526414491730/11:36:06/UPI/9822472410@superyes</t>
  </si>
  <si>
    <t>14491730</t>
  </si>
  <si>
    <t>UPI/5264148134 UPI/526414813420/12:00:25/UPI/flipkart.payu@hdfcb</t>
  </si>
  <si>
    <t>14813420</t>
  </si>
  <si>
    <t>23-09-25</t>
  </si>
  <si>
    <t>UPI/5266403263 UPI/526640326399/09:55:24/UPI/myjio.easebuzz@hdfc</t>
  </si>
  <si>
    <t>40326399</t>
  </si>
  <si>
    <t>UPI/5266773191 UPI/526677319164/12:28:46/UPI/gpay-utility@okpaya</t>
  </si>
  <si>
    <t>77319164</t>
  </si>
  <si>
    <t>UPI/5266612063 UPI/526661206361/20:47:18/UPI/icclzerodha@yespay/</t>
  </si>
  <si>
    <t>61206361</t>
  </si>
  <si>
    <t>UPI/5266612309 UPI/526661230931/20:48:45/UPI/icclzerodha@yespay/</t>
  </si>
  <si>
    <t>61230931</t>
  </si>
  <si>
    <t>25-09-25</t>
  </si>
  <si>
    <t>UPI/5268302121 UPI/526830212171/17:41:42/UPI/keyursavliya29@okax</t>
  </si>
  <si>
    <t>30212171</t>
  </si>
  <si>
    <t>26-09-25</t>
  </si>
  <si>
    <t>UPI/5635181888 UPI/563518188853/00:56:03/UPI/q961636112@ybl/UPI</t>
  </si>
  <si>
    <t>18188853</t>
  </si>
  <si>
    <t>UPI/5269005481 UPI/526900548183/12:05:46/UPI/supermoney1@yesbank</t>
  </si>
  <si>
    <t>548183</t>
  </si>
  <si>
    <t>UPI/2704665326 UPI/270466532695/12:47:36/UPI/parthdhorajiya365@p</t>
  </si>
  <si>
    <t>66532695</t>
  </si>
  <si>
    <t>DIGITA-MUMBAI/ NEFT-CNRBH00077853367-ANAND ASHOK BUDHRAJA</t>
  </si>
  <si>
    <t>27-09-25</t>
  </si>
  <si>
    <t>DIGITA-MUMBAI/ NEFT-SBIN525270070310-ITDTAX REFUND 2025-26 HJPPD7</t>
  </si>
  <si>
    <t>UPI/5636294456 UPI/563629445672/12:19:49/UPI/flipkart.hypg@yespa</t>
  </si>
  <si>
    <t>29445672</t>
  </si>
  <si>
    <t>UPI/5270378931 UPI/527037893133/18:17:14/UPI/jubilantfoodworksli</t>
  </si>
  <si>
    <t>37893133</t>
  </si>
  <si>
    <t>UPI/5270740853 UPI/527074085323/18:25:33/UPI/paytmqr281005050101</t>
  </si>
  <si>
    <t>74085323</t>
  </si>
  <si>
    <t>UPI/5636358665 UPI/563635866567/19:29:10/UPI/flipkart.hypg@yespa</t>
  </si>
  <si>
    <t>35866567</t>
  </si>
  <si>
    <t>29-09-25</t>
  </si>
  <si>
    <t>UPI/5638256659 UPI/563825665972/01:18:21/UPI/q632637595@ybl/UPI</t>
  </si>
  <si>
    <t>25665972</t>
  </si>
  <si>
    <t>UPI/5272836213 UPI/527283621313/17:21:07/UPI/lenskart.payu@hdfcb</t>
  </si>
  <si>
    <t>83621313</t>
  </si>
  <si>
    <t>UPI/5272499070 UPI/527249907012/18:03:49/UPI/lenskartoffline@ybl</t>
  </si>
  <si>
    <t>49907012</t>
  </si>
  <si>
    <t>30-09-25</t>
  </si>
  <si>
    <t>UPI/5273251193 UPI/527325119366/00:20:40/UPI/q632637595@ybl/UPI</t>
  </si>
  <si>
    <t>25119366</t>
  </si>
  <si>
    <t>UPI/5273095391 UPI/527309539189/01:59:33/UPI/q632637595@ybl/UPI</t>
  </si>
  <si>
    <t>9539189</t>
  </si>
  <si>
    <t>01-10-25</t>
  </si>
  <si>
    <t>UPI/5640788276 UPI/564078827615/16:11:38/UPI/amul.pujari22@oksbi</t>
  </si>
  <si>
    <t>78827615</t>
  </si>
  <si>
    <t>02-10-25</t>
  </si>
  <si>
    <t>UPI/5641192766 UPI/564119276656/02:47:17/UPI/vyapar.175191678408</t>
  </si>
  <si>
    <t>19276656</t>
  </si>
  <si>
    <t>UPI/5275005877 UPI/527500587714/19:07:13/UPI/decentro@suryoday/P</t>
  </si>
  <si>
    <t>587714</t>
  </si>
  <si>
    <t>DIGITA-MUMBAI/ IMPS/P2A/527541581560/ILLIONBRAINS GA/FUNDS TRANS</t>
  </si>
  <si>
    <t>04-10-25</t>
  </si>
  <si>
    <t>BY CASH BY CASH</t>
  </si>
  <si>
    <t>05-10-25</t>
  </si>
  <si>
    <t>UPI/5434147361 UPI/543414736122/11:33:20/UPI/8408853526@ibl/Paym</t>
  </si>
  <si>
    <t>14736122</t>
  </si>
  <si>
    <t>06-10-25</t>
  </si>
  <si>
    <t>UPI/5279021747 UPI/527902174785/14:04:28/UPI/9316247772-2@axl/UP</t>
  </si>
  <si>
    <t>2174785</t>
  </si>
  <si>
    <t>UPI/5279467947 UPI/527946794704/18:27:24/UPI/myjio.easebuzz@hdfc</t>
  </si>
  <si>
    <t>46794704</t>
  </si>
  <si>
    <t>08-10-25</t>
  </si>
  <si>
    <t>UPI/5281370108 UPI/528137010838/13:19:49/UPI/paytm.s1ccuxw@pty/U</t>
  </si>
  <si>
    <t>37010838</t>
  </si>
  <si>
    <t>10-10-25</t>
  </si>
  <si>
    <t>UPI/5153607182 UPI/515360718248/15:49:28/UPI/8208358325@ybl/Paym</t>
  </si>
  <si>
    <t>60718248</t>
  </si>
  <si>
    <t>UPI/9339662492 UPI/933966249243/15:50:03/UPI/8208358325@ybl/Paym</t>
  </si>
  <si>
    <t>66249243</t>
  </si>
  <si>
    <t>UPI/5422189373 UPI/542218937371/15:50:29/UPI/8208358325@axl/Paym</t>
  </si>
  <si>
    <t>18937371</t>
  </si>
  <si>
    <t>UPI/5649098724 UPI/564909872460/16:31:53/UPI/gpay-utility@okpaya</t>
  </si>
  <si>
    <t>9872460</t>
  </si>
  <si>
    <t>13-10-25</t>
  </si>
  <si>
    <t>UPI/5286010064 UPI/528601006497/07:48:23/UPI/paytra1599@ptybl/Se</t>
  </si>
  <si>
    <t>1006497</t>
  </si>
  <si>
    <t>UPI/5286068737 UPI/528606873705/08:34:07/UPI/paytra1599@ptybl/ex</t>
  </si>
  <si>
    <t>6873705</t>
  </si>
  <si>
    <t>UPI/5652906472 UPI/565290647248/10:00:23/UPI/setuverify@kaypay/A</t>
  </si>
  <si>
    <t>90647248</t>
  </si>
  <si>
    <t>UPI/5286538872 UPI/528653887239/10:48:34/UPI/growwnbt.elements@h</t>
  </si>
  <si>
    <t>53887239</t>
  </si>
  <si>
    <t>UPI/5652825716 UPI/565282571654/12:55:39/UPI/myjio.easebuzz@hdfc</t>
  </si>
  <si>
    <t>82571654</t>
  </si>
  <si>
    <t>14-10-25</t>
  </si>
  <si>
    <t>UPI/5287734414 UPI/528773441449/10:49:32/UPI/growwnbt.elements@h</t>
  </si>
  <si>
    <t>73441449</t>
  </si>
  <si>
    <t>15-10-25</t>
  </si>
  <si>
    <t>UPI/5654765091 UPI/565476509172/16:14:47/UPI/gelaniha518@okicici</t>
  </si>
  <si>
    <t>76509172</t>
  </si>
  <si>
    <t>UPI/1126892727 UPI/112689272740/16:15:21/UPI/gelaniha518@okhdfcb</t>
  </si>
  <si>
    <t>89272740</t>
  </si>
  <si>
    <t>16-10-25</t>
  </si>
  <si>
    <t>UPI/5655223462 UPI/565522346226/10:25:09/UPI/myjio.easebuzz@hdfc</t>
  </si>
  <si>
    <t>22346226</t>
  </si>
  <si>
    <t>UPI/1127258823 UPI/112725882305/11:31:24/UPI/gelaniha518@okhdfcb</t>
  </si>
  <si>
    <t>25882305</t>
  </si>
  <si>
    <t>17-10-25</t>
  </si>
  <si>
    <t>UPI/5290489982 UPI/529048998216/23:48:08/UPI/paytmqr65krj8@ptys/</t>
  </si>
  <si>
    <t>48998216</t>
  </si>
  <si>
    <t>18-10-25</t>
  </si>
  <si>
    <t>UPI/5657320222 UPI/565732022235/11:32:45/UPI/myjio.easebuzz@hdfc</t>
  </si>
  <si>
    <t>32022235</t>
  </si>
  <si>
    <t>UPI/9123220829 UPI/912322082915/13:01:10/UPI/poweraccess.payupay</t>
  </si>
  <si>
    <t>22082915</t>
  </si>
  <si>
    <t>19-10-25</t>
  </si>
  <si>
    <t>UPI/5292292092 UPI/529229209288/17:28:19/UPI/q224669375@ybl/UPI</t>
  </si>
  <si>
    <t>29209288</t>
  </si>
  <si>
    <t>20-10-25</t>
  </si>
  <si>
    <t>UPI/5293683998 UPI/529368399832/14:13:04/UPI/pariyaj742@okicici/</t>
  </si>
  <si>
    <t>68399832</t>
  </si>
  <si>
    <t>UPI/5293200901 UPI/529320090134/14:14:52/UPI/pariyaj742@okicici/</t>
  </si>
  <si>
    <t>20090134</t>
  </si>
  <si>
    <t>23-10-25</t>
  </si>
  <si>
    <t>UPI/5296704698 UPI/529670469837/13:06:27/UPI/gndhorajiya8376@okh</t>
  </si>
  <si>
    <t>70469837</t>
  </si>
  <si>
    <t>UPI/5296851739 UPI/529685173948/13:07:37/UPI/gndhorajiya8376@okh</t>
  </si>
  <si>
    <t>85173948</t>
  </si>
  <si>
    <t>25-10-25</t>
  </si>
  <si>
    <t>UPI/5664698826 UPI/566469882670/08:46:10/UPI/nationalhighway2888</t>
  </si>
  <si>
    <t>69882670</t>
  </si>
  <si>
    <t>UPI/5298521358 UPI/529852135865/18:18:53/UPI/myjio.easebuzz@hdfc</t>
  </si>
  <si>
    <t>52135865</t>
  </si>
  <si>
    <t>27-10-25</t>
  </si>
  <si>
    <t>UPI/5666417638 UPI/566641763898/19:14:21/UPI/myjio.easebuzz@hdfc</t>
  </si>
  <si>
    <t>41763898</t>
  </si>
  <si>
    <t>UPI/5666112582 UPI/566611258290/19:16:12/UPI/myjio.easebuzz@hdfc</t>
  </si>
  <si>
    <t>11258290</t>
  </si>
  <si>
    <t>UPI/4556742830 UPI/455674283005/20:40:00/UPI/playstore@axisbank/</t>
  </si>
  <si>
    <t>74283005</t>
  </si>
  <si>
    <t>UPI/4557206230 UPI/455720623005/20:40:19/UPI/googlepay@axisbank/</t>
  </si>
  <si>
    <t>20623005</t>
  </si>
  <si>
    <t>01-11-25</t>
  </si>
  <si>
    <t>:Int.Pd:01-08- 33590100007037:Int.Pd:01-08-2025 to 31-10-2025</t>
  </si>
  <si>
    <t>02-11-25</t>
  </si>
  <si>
    <t>UPI/5672109100 UPI/567210910002/09:57:37/UPI/googlebbpsutility@i</t>
  </si>
  <si>
    <t>10910002</t>
  </si>
  <si>
    <t>03-11-25</t>
  </si>
  <si>
    <t>UPI/2803303552 UPI/280330355235/09:52:00/UPI/8408853526@ybl/Paym</t>
  </si>
  <si>
    <t>30355235</t>
  </si>
  <si>
    <t>05-11-25</t>
  </si>
  <si>
    <t>UPI/5675182870 UPI/567518287018/17:52:23/UPI/myjio.easebuzz@hdfc</t>
  </si>
  <si>
    <t>18287018</t>
  </si>
  <si>
    <t>UPI/5309979005 UPI/530997900576/18:54:01/UPI/myjio.easebuzz@hdfc</t>
  </si>
  <si>
    <t>97900576</t>
  </si>
  <si>
    <t>06-11-25</t>
  </si>
  <si>
    <t>UPI/5310813210 UPI/531081321097/09:15:37/UPI/paytra1599@ptybl/Se</t>
  </si>
  <si>
    <t>81321097</t>
  </si>
  <si>
    <t>07-11-25</t>
  </si>
  <si>
    <t>UPI/5677422731 UPI/567742273136/12:42:43/UPI/growwnbt.elements@h</t>
  </si>
  <si>
    <t>42273136</t>
  </si>
  <si>
    <t>08-11-25</t>
  </si>
  <si>
    <t>UPI/5312617330 UPI/531261733094/18:00:08/UPI/myjio.easebuzz@hdfc</t>
  </si>
  <si>
    <t>61733094</t>
  </si>
  <si>
    <t>09-11-25</t>
  </si>
  <si>
    <t>UPI/5313268792 UPI/531326879201/21:05:54/UPI/irctc89.paytm@hdfcb</t>
  </si>
  <si>
    <t>26879201</t>
  </si>
  <si>
    <t>UPI/5679349147 UPI/567934914701/22:17:54/UPI/paytm.s1m75be@pty/U</t>
  </si>
  <si>
    <t>34914701</t>
  </si>
  <si>
    <t>10-11-25</t>
  </si>
  <si>
    <t>UPI/5680955241 UPI/568095524134/09:29:30/UPI/growwnbt.elements@h</t>
  </si>
  <si>
    <t>95524134</t>
  </si>
  <si>
    <t>UPI/5680833414 UPI/568083341449/10:28:35/UPI/8849059700@ibl/UPI</t>
  </si>
  <si>
    <t>83341449</t>
  </si>
  <si>
    <t>UPI/5680045434 UPI/568004543488/11:22:25/UPI/gndhorajiya8376@okh</t>
  </si>
  <si>
    <t>4543488</t>
  </si>
  <si>
    <t>11-11-25</t>
  </si>
  <si>
    <t>DIGITB-VADODAR CRA/565290647248/13-10-2025</t>
  </si>
  <si>
    <t>12-11-25</t>
  </si>
  <si>
    <t>SERPUN-PUNE/BY BY INST 000009 : DILIP GO - MICR INWARD CLG (CTS)</t>
  </si>
  <si>
    <t>9</t>
  </si>
  <si>
    <t>UPI/5682050380 UPI/568205038059/18:39:38/UPI/amazon@rapl/You are</t>
  </si>
  <si>
    <t>5038059</t>
  </si>
  <si>
    <t>13-11-25</t>
  </si>
  <si>
    <t>UPI/5683611733 UPI/568361173368/12:10:44/UPI/myjio.easebuzz@hdfc</t>
  </si>
  <si>
    <t>61173368</t>
  </si>
  <si>
    <t>14-11-25</t>
  </si>
  <si>
    <t>UPI/5318826123 UPI/531882612358/13:38:42/UPI/paytra1599@ptybl/Se</t>
  </si>
  <si>
    <t>82612358</t>
  </si>
  <si>
    <t>UPI/5684031191 UPI/568403119103/14:50:07/UPI/paytra1599@ptybl/ex</t>
  </si>
  <si>
    <t>3119103</t>
  </si>
  <si>
    <t>15-11-25</t>
  </si>
  <si>
    <t>UPI/5685031344 UPI/568503134437/14:43:49/UPI/myjio.easebuzz@hdfc</t>
  </si>
  <si>
    <t>3134437</t>
  </si>
  <si>
    <t>16-11-25</t>
  </si>
  <si>
    <t>UPI/5320012106 UPI/532001210626/09:02:35/UPI/paytra1599@ptybl/Se</t>
  </si>
  <si>
    <t>1210626</t>
  </si>
  <si>
    <t>UPI/5320497282 UPI/532049728282/16:43:11/UPI/metrorailnagpur.bdp</t>
  </si>
  <si>
    <t>49728282</t>
  </si>
  <si>
    <t>17-11-25</t>
  </si>
  <si>
    <t>UPI/5687394296 UPI/568739429652/10:23:44/UPI/groww.brk@validhdfc</t>
  </si>
  <si>
    <t>39429652</t>
  </si>
  <si>
    <t>18-11-25</t>
  </si>
  <si>
    <t>UPI/5322916026 UPI/532291602678/21:05:21/UPI/myjio.easebuzz@hdfc</t>
  </si>
  <si>
    <t>91602678</t>
  </si>
  <si>
    <t>19-11-25</t>
  </si>
  <si>
    <t>UPI/5323033207 UPI/532303320722/06:31:02/UPI/myjio.easebuzz@hdfc</t>
  </si>
  <si>
    <t>3320722</t>
  </si>
  <si>
    <t>20-11-25</t>
  </si>
  <si>
    <t>UPI/5690885423 UPI/569088542369/17:50:45/UPI/gpay-utility@okpaya</t>
  </si>
  <si>
    <t>88542369</t>
  </si>
  <si>
    <t>26-11-25</t>
  </si>
  <si>
    <t>UPI/5696403556 UPI/569640355643/10:04:30/UPI/myjio.easebuzz@hdfc</t>
  </si>
  <si>
    <t>40355643</t>
  </si>
  <si>
    <t>27-11-25</t>
  </si>
  <si>
    <t>UPI/5331048905 UPI/533104890522/21:59:19/UPI/myjio.easebuzz@hdfc</t>
  </si>
  <si>
    <t>4890522</t>
  </si>
  <si>
    <t>03-12-25</t>
  </si>
  <si>
    <t>SMS Charges SMS Charges for OCT 25</t>
  </si>
  <si>
    <t>UPI/5337210607 UPI/533721060768/09:16:36/UPI/paytra1599@ptybl/Se</t>
  </si>
  <si>
    <t>21060768</t>
  </si>
  <si>
    <t>05-12-25</t>
  </si>
  <si>
    <t>UPI/5339373489 UPI/533937348949/14:32:52/UPI/myjio.easebuzz@hdfc</t>
  </si>
  <si>
    <t>37348949</t>
  </si>
  <si>
    <t>07-12-25</t>
  </si>
  <si>
    <t>UPI/5341553409 UPI/534155340914/18:38:51/UPI/myjio.easebuzz@hdfc</t>
  </si>
  <si>
    <t>55340914</t>
  </si>
  <si>
    <t>08-12-25</t>
  </si>
  <si>
    <t>UPI/5342373966 UPI/534237396687/16:39:47/UPI/myjio.easebuzz@hdfc</t>
  </si>
  <si>
    <t>37396687</t>
  </si>
  <si>
    <t>09-12-25</t>
  </si>
  <si>
    <t>UPI/5343046772 UPI/534304677246/11:06:51/UPI/groww.brk@validhdfc</t>
  </si>
  <si>
    <t>4677246</t>
  </si>
  <si>
    <t>11-12-25</t>
  </si>
  <si>
    <t>UPI/5345335104 UPI/534533510483/08:44:47/UPI/irctc89.paytm@hdfcb</t>
  </si>
  <si>
    <t>33510483</t>
  </si>
  <si>
    <t>UPI/5711880639 UPI/571188063904/18:56:29/UPI/bookmyshow@axb/UPI</t>
  </si>
  <si>
    <t>88063904</t>
  </si>
  <si>
    <t>14-12-25</t>
  </si>
  <si>
    <t>UPI/5348730028 UPI/534873002864/20:40:38/UPI/nagpurmetro.211.121</t>
  </si>
  <si>
    <t>73002864</t>
  </si>
  <si>
    <t>15-12-25</t>
  </si>
  <si>
    <t>UPI/5349616755 UPI/534961675509/21:25:38/UPI/gpay-11257106946@ok</t>
  </si>
  <si>
    <t>61675509</t>
  </si>
  <si>
    <t>16-12-25</t>
  </si>
  <si>
    <t>UPI/5716379582 UPI/571637958278/20:33:44/UPI/paytmqr6b5s12@ptys/</t>
  </si>
  <si>
    <t>37958278</t>
  </si>
  <si>
    <t>UPI/5716086664 UPI/571608666424/22:39:46/UPI/paytmqr6tacwj@ptys/</t>
  </si>
  <si>
    <t>8666424</t>
  </si>
  <si>
    <t>17-12-25</t>
  </si>
  <si>
    <t>UPI/5717566957 UPI/571756695791/12:28:15/UPI/myjio.easebuzz@hdfc</t>
  </si>
  <si>
    <t>56695791</t>
  </si>
  <si>
    <t>18-12-25</t>
  </si>
  <si>
    <t>UPI/5352131384 UPI/535213138466/09:22:31/UPI/english.bmrc.payu@i</t>
  </si>
  <si>
    <t>13138466</t>
  </si>
  <si>
    <t>UPI/5352056624 UPI/535205662432/14:00:43/UPI/myjio.easebuzz@hdfc</t>
  </si>
  <si>
    <t>5662432</t>
  </si>
  <si>
    <t>UPI/5352671748 UPI/535267174832/16:58:58/UPI/9591787855@ibl/UPI</t>
  </si>
  <si>
    <t>67174832</t>
  </si>
  <si>
    <t>21-12-25</t>
  </si>
  <si>
    <t>UPI/5721140330 UPI/572114033010/22:08:18/UPI/myjio.easebuzz@hdfc</t>
  </si>
  <si>
    <t>14033010</t>
  </si>
  <si>
    <t>22-12-25</t>
  </si>
  <si>
    <t>UPI/5722386521 UPI/572238652159/10:11:15/UPI/myjio.easebuzz@hdfc</t>
  </si>
  <si>
    <t>38652159</t>
  </si>
  <si>
    <t>UPI/5722743591 UPI/572274359164/15:52:16/UPI/7483147405@ptsbi/UP</t>
  </si>
  <si>
    <t>74359164</t>
  </si>
  <si>
    <t>23-12-25</t>
  </si>
  <si>
    <t>UPI/5357541404 UPI/535754140438/13:08:01/UPI/gpay-utility@okpaya</t>
  </si>
  <si>
    <t>54140438</t>
  </si>
  <si>
    <t>24-12-25</t>
  </si>
  <si>
    <t>UPI/5724009368 UPI/572400936824/15:31:45/UPI/q815420142@ybl/UPI</t>
  </si>
  <si>
    <t>936824</t>
  </si>
  <si>
    <t>25-12-25</t>
  </si>
  <si>
    <t>UPI/5359983275 UPI/535998327584/21:43:28/UPI/diya.verma89@fam/UP</t>
  </si>
  <si>
    <t>98327584</t>
  </si>
  <si>
    <t>03-01-26</t>
  </si>
  <si>
    <t>DIGITA-MUMBAI/ NEFT-IN22600319927346-NEXTBILLION TECHNOLOGY PRIVA</t>
  </si>
  <si>
    <t>04-01-26</t>
  </si>
  <si>
    <t>UPI/6370395717 UPI/637039571747/19:06:35/UPI/myjio.easebuzz@hdfc</t>
  </si>
  <si>
    <t>39571747</t>
  </si>
  <si>
    <t>06-01-26</t>
  </si>
  <si>
    <t>UPI/6372741321 UPI/637274132179/19:40:08/UPI/paytmqr6scxcw@ptys/</t>
  </si>
  <si>
    <t>74132179</t>
  </si>
  <si>
    <t>07-01-26</t>
  </si>
  <si>
    <t>UPI/6373251483 UPI/637325148382/09:25:27/UPI/paytmqr57zg8k@paytm</t>
  </si>
  <si>
    <t>25148382</t>
  </si>
  <si>
    <t>08-01-26</t>
  </si>
  <si>
    <t>UPI/6008525782 UPI/600852578208/15:48:32/UPI/myjio.easebuzz@hdfc</t>
  </si>
  <si>
    <t>52578208</t>
  </si>
  <si>
    <t>09-01-26</t>
  </si>
  <si>
    <t>UPI/6375385450 UPI/637538545076/18:00:07/UPI/lenskartoffline@axl</t>
  </si>
  <si>
    <t>38545076</t>
  </si>
  <si>
    <t>UPI/6375649541 UPI/637564954138/18:04:47/UPI/lenskartoffline@axl</t>
  </si>
  <si>
    <t>64954138</t>
  </si>
  <si>
    <t>10-01-26</t>
  </si>
  <si>
    <t>UPI/6010346023 UPI/601034602304/13:24:47/UPI/myjio.easebuzz@hdfc</t>
  </si>
  <si>
    <t>34602304</t>
  </si>
  <si>
    <t>UPI/6010711601 UPI/601071160181/22:05:35/UPI/senorspice@idfcbank</t>
  </si>
  <si>
    <t>71160181</t>
  </si>
  <si>
    <t>11-01-26</t>
  </si>
  <si>
    <t>SMS Charges SMS Charges for NOV 25</t>
  </si>
  <si>
    <t>UPI/6011569602 UPI/601156960228/21:28:08/UPI/paytra1599@ptybl/Se</t>
  </si>
  <si>
    <t>56960228</t>
  </si>
  <si>
    <t>12-01-26</t>
  </si>
  <si>
    <t>UPI/6012023520 UPI/601202352012/07:58:01/UPI/paytra1599@ptybl/ex</t>
  </si>
  <si>
    <t>2352012</t>
  </si>
  <si>
    <t>UPI/6378588358 UPI/637858835838/08:38:17/UPI/paytm-64670120@ptys</t>
  </si>
  <si>
    <t>58835838</t>
  </si>
  <si>
    <t>13-01-26</t>
  </si>
  <si>
    <t>DIGITA-MUMBAI/ IMPS/P2A/601312624747/SHIVALAYCONSTRU/IMPSUOB9194</t>
  </si>
  <si>
    <t>14-01-26</t>
  </si>
  <si>
    <t>UPI/6380868025 UPI/638086802563/13:07:01/UPI/myjio.easebuzz@hdfc</t>
  </si>
  <si>
    <t>86802563</t>
  </si>
  <si>
    <t>UPI/6014140357 UPI/601414035749/18:01:16/UPI/payair7673@ptybl/Se</t>
  </si>
  <si>
    <t>14035749</t>
  </si>
  <si>
    <t>UPI/6380027399 UPI/638002739969/20:57:45/UPI/q028708257@ybl/UPI</t>
  </si>
  <si>
    <t>2739969</t>
  </si>
  <si>
    <t>17-01-26</t>
  </si>
  <si>
    <t>UPI/1024828375 UPI/102482837510/10:24:52/UPI/districtevent.payu@</t>
  </si>
  <si>
    <t>82837510</t>
  </si>
  <si>
    <t>UPI/6383052897 UPI/638305289773/12:07:43/UPI/8766720625@superyes</t>
  </si>
  <si>
    <t>5289773</t>
  </si>
  <si>
    <t>UPI/6383338279 UPI/638333827969/16:45:51/UPI/npraful271@ybl/UPI</t>
  </si>
  <si>
    <t>33827969</t>
  </si>
  <si>
    <t>18-01-26</t>
  </si>
  <si>
    <t>UPI/6384731559 UPI/638473155933/13:11:28/UPI/swiggyupi@axb/Pay f</t>
  </si>
  <si>
    <t>73155933</t>
  </si>
  <si>
    <t>UPI/6384641937 UPI/638464193774/14:21:14/UPI/7723801331@ybl/UPI</t>
  </si>
  <si>
    <t>64193774</t>
  </si>
  <si>
    <t>UPI/6384615819 UPI/638461581904/16:41:06/UPI/msedcl2.1771353000.</t>
  </si>
  <si>
    <t>61581904</t>
  </si>
  <si>
    <t>UPI/6384377884 UPI/638437788464/16:41:40/UPI/nmcwater@ybl/Paymen</t>
  </si>
  <si>
    <t>37788464</t>
  </si>
  <si>
    <t>UPI/6018486719 UPI/601848671974/19:55:51/UPI/kgyqde2861@ptybl/Se</t>
  </si>
  <si>
    <t>48671974</t>
  </si>
  <si>
    <t>UPI/3957311333 UPI/395731133359/20:49:40/UPI/8766407158@ptyes/Se</t>
  </si>
  <si>
    <t>31133359</t>
  </si>
  <si>
    <t>UPI/6018578023 UPI/601857802375/21:11:17/UPI/8766407158@ptyes/pi</t>
  </si>
  <si>
    <t>57802375</t>
  </si>
  <si>
    <t>19-01-26</t>
  </si>
  <si>
    <t>UPI/3957493650 UPI/395749365058/11:25:04/UPI/8767821608@ptyes/Se</t>
  </si>
  <si>
    <t>49365058</t>
  </si>
  <si>
    <t>UPI/3957840382 UPI/395784038241/20:13:49/UPI/8767821608@ptyes/Se</t>
  </si>
  <si>
    <t>84038241</t>
  </si>
  <si>
    <t>21-01-26</t>
  </si>
  <si>
    <t>UPI/6387097454 UPI/638709745467/21:12:08/UPI/paytra1599@ptybl/ex</t>
  </si>
  <si>
    <t>9745467</t>
  </si>
  <si>
    <t>22-01-26</t>
  </si>
  <si>
    <t>UPI/6022727554 UPI/602272755456/16:30:56/UPI/gpay-utility@okpaya</t>
  </si>
  <si>
    <t>72755456</t>
  </si>
  <si>
    <t>UPI/6022078791 UPI/602207879127/19:58:20/UPI/myjio.easebuzz@hdfc</t>
  </si>
  <si>
    <t>7879127</t>
  </si>
  <si>
    <t>25-01-26</t>
  </si>
  <si>
    <t>UPI/6025322676 UPI/602532267604/14:44:53/UPI/paytmqr6lh4vw@ptys/</t>
  </si>
  <si>
    <t>32267604</t>
  </si>
  <si>
    <t>28-01-26</t>
  </si>
  <si>
    <t>UPI/6394614333 UPI/639461433342/09:41:11/UPI/groww.brk@validhdfc</t>
  </si>
  <si>
    <t>61433342</t>
  </si>
  <si>
    <t>UPI/6028951279 UPI/602895127984/18:52:39/UPI/paytra1599@ptybl/Se</t>
  </si>
  <si>
    <t>95127984</t>
  </si>
  <si>
    <t>29-01-26</t>
  </si>
  <si>
    <t>UPI/6395269217 UPI/639526921711/11:30:39/UPI/q571660554@ybl/Xero</t>
  </si>
  <si>
    <t>26921711</t>
  </si>
  <si>
    <t>UPI/1715881353 UPI/171588135351/12:05:47/UPI/siddharthsomwanshi@</t>
  </si>
  <si>
    <t>88135351</t>
  </si>
  <si>
    <t>UPI/6395915153 UPI/639591515338/14:36:05/UPI/groww.brk@validhdfc</t>
  </si>
  <si>
    <t>91515338</t>
  </si>
  <si>
    <t>31-01-26</t>
  </si>
  <si>
    <t>UPI/6031280304 UPI/603128030476/08:09:24/UPI/paytmqr6whmcr@ptys/</t>
  </si>
  <si>
    <t>28030476</t>
  </si>
  <si>
    <t>UPI/6031032780 UPI/603103278014/16:16:52/UPI/myjio.easebuzz@hdfc</t>
  </si>
  <si>
    <t>3278014</t>
  </si>
  <si>
    <t>02-02-26</t>
  </si>
  <si>
    <t>:Int.Pd:01-11- 33590100007037:Int.Pd:01-11-2025 to 31-01-2026</t>
  </si>
  <si>
    <t>UPI/6033677362 UPI/603367736252/19:57:00/UPI/myjio.easebuzz@hdfc</t>
  </si>
  <si>
    <t>67736252</t>
  </si>
  <si>
    <t>03-02-26</t>
  </si>
  <si>
    <t>UPI/6400071087 UPI/640007108736/20:58:43/UPI/jiofiber-paytm@ptyb</t>
  </si>
  <si>
    <t>7108736</t>
  </si>
  <si>
    <t>04-02-26</t>
  </si>
  <si>
    <t>UPI/6401476803 UPI/640147680302/19:00:59/UPI/zomatoorder1.gpay@o</t>
  </si>
  <si>
    <t>47680302</t>
  </si>
  <si>
    <t>05-02-26</t>
  </si>
  <si>
    <t>UPI/6036640209 UPI/603664020950/15:40:07/UPI/myjio.easebuzz@hdfc</t>
  </si>
  <si>
    <t>64020950</t>
  </si>
  <si>
    <t>06-02-26</t>
  </si>
  <si>
    <t>UPI/6403491098 UPI/640349109868/17:49:52/UPI/jitendrahattewar714</t>
  </si>
  <si>
    <t>49109868</t>
  </si>
  <si>
    <t>07-02-26</t>
  </si>
  <si>
    <t>UPI/6404092653 UPI/640409265367/12:27:13/UPI/myjio.easebuzz@hdfc</t>
  </si>
  <si>
    <t>9265367</t>
  </si>
  <si>
    <t>08-02-26</t>
  </si>
  <si>
    <t>UPI/6039167323 UPI/603916732375/12:35:41/UPI/8208358325@ybl/monk</t>
  </si>
  <si>
    <t>16732375</t>
  </si>
  <si>
    <t>09-02-26</t>
  </si>
  <si>
    <t>UPI/6406343236 UPI/640634323666/14:41:48/UPI/9049480155@ybl/UPI</t>
  </si>
  <si>
    <t>34323666</t>
  </si>
  <si>
    <t>10-02-26</t>
  </si>
  <si>
    <t>UPI/6407427726 UPI/640742772616/10:09:34/UPI/railsbiupi11.802101</t>
  </si>
  <si>
    <t>42772616</t>
  </si>
  <si>
    <t>12-02-26</t>
  </si>
  <si>
    <t>UPI/6409946242 UPI/640994624290/09:36:51/UPI/bdpg2.ir@sbi/UPI</t>
  </si>
  <si>
    <t>94624290</t>
  </si>
  <si>
    <t>UPI/6043854256 UPI/604385425685/09:44:36/UPI/paytra1599@ptybl/Se</t>
  </si>
  <si>
    <t>85425685</t>
  </si>
  <si>
    <t>UPI/6043854943 UPI/604385494385/09:53:26/UPI/irctc89.paytm@hdfcb</t>
  </si>
  <si>
    <t>85494385</t>
  </si>
  <si>
    <t>UPI/6409201438 UPI/640920143838/16:56:02/UPI/vyapar.170197823499</t>
  </si>
  <si>
    <t>20143838</t>
  </si>
  <si>
    <t>14-02-26</t>
  </si>
  <si>
    <t>UPI/6045944867 UPI/604594486706/12:25:26/UPI/myjio.easebuzz@hdfc</t>
  </si>
  <si>
    <t>94486706</t>
  </si>
  <si>
    <t>15-02-26</t>
  </si>
  <si>
    <t>UPI/6412397974 UPI/641239797466/20:15:27/UPI/metrorailnagpur.bdp</t>
  </si>
  <si>
    <t>39797466</t>
  </si>
  <si>
    <t>18-02-26</t>
  </si>
  <si>
    <t>UPI/6049799240 UPI/604979924071/20:56:09/UPI/gpay-utility@okpaya</t>
  </si>
  <si>
    <t>79924071</t>
  </si>
  <si>
    <t>UPI/6049288408 UPI/604928840834/20:57:35/UPI/nmcwater@axl/Paymen</t>
  </si>
  <si>
    <t>28840834</t>
  </si>
  <si>
    <t>UPI/6049332498 UPI/604933249849/22:08:24/UPI/paytm-17731298@ptyb</t>
  </si>
  <si>
    <t>33249849</t>
  </si>
  <si>
    <t>UPI/6049332479 UPI/604933247996/22:09:39/UPI/meesho1online.gpay@</t>
  </si>
  <si>
    <t>33247996</t>
  </si>
  <si>
    <t>20-02-26</t>
  </si>
  <si>
    <t>UPI/6417470197 UPI/641747019793/11:04:06/UPI/fashneartechnol5588</t>
  </si>
  <si>
    <t>47019793</t>
  </si>
  <si>
    <t>21-02-26</t>
  </si>
  <si>
    <t>UPI/6052366064 UPI/605236606425/12:01:21/UPI/myjio.easebuzz@hdfc</t>
  </si>
  <si>
    <t>36606425</t>
  </si>
  <si>
    <t>UPI/6418451938 UPI/641845193822/12:26:10/UPI/sumantrasjoshi9@okh</t>
  </si>
  <si>
    <t>45193822</t>
  </si>
  <si>
    <t>UPI/6052222355 UPI/605222235522/17:32:49/UPI/swiggy1online.gpay@</t>
  </si>
  <si>
    <t>22235522</t>
  </si>
  <si>
    <t>UPI/5968706405 UPI/596870640526/20:02:40/UPI/gpayrefund-online@a</t>
  </si>
  <si>
    <t>70640526</t>
  </si>
  <si>
    <t>23-02-26</t>
  </si>
  <si>
    <t>UPI/6420647938 UPI/642064793872/21:32:24/UPI/swiggy1online.gpay@</t>
  </si>
  <si>
    <t>64793872</t>
  </si>
  <si>
    <t>24-02-26</t>
  </si>
  <si>
    <t>UPI/6055513421 UPI/605551342100/14:10:14/UPI/fashneartechnol3825</t>
  </si>
  <si>
    <t>51342100</t>
  </si>
  <si>
    <t>UPI/6055283678 UPI/605528367801/22:03:09/UPI/q290164097@ybl/UPI</t>
  </si>
  <si>
    <t>28367801</t>
  </si>
  <si>
    <t>25-02-26</t>
  </si>
  <si>
    <t>UPI/6422621136 UPI/642262113603/19:33:00/UPI/bajajpay.6879729.yk</t>
  </si>
  <si>
    <t>62113603</t>
  </si>
  <si>
    <t>UPI/6422566435 UPI/642256643530/19:37:08/UPI/bajajpay.6879729.yk</t>
  </si>
  <si>
    <t>56643530</t>
  </si>
  <si>
    <t>UPI/6422859344 UPI/642285934458/19:42:16/UPI/vyapar.170197823499</t>
  </si>
  <si>
    <t>85934458</t>
  </si>
  <si>
    <t>01-03-26</t>
  </si>
  <si>
    <t>UPI/6426103923 UPI/642610392319/15:05:04/UPI/tanmayspatre@oksbi/</t>
  </si>
  <si>
    <t>10392319</t>
  </si>
  <si>
    <t>UPI/6060875312 UPI/606087531201/21:17:57/UPI/blinkit3.payu@hdfcb</t>
  </si>
  <si>
    <t>87531201</t>
  </si>
  <si>
    <t>04-03-26</t>
  </si>
  <si>
    <t>UPI/6063142647 UPI/606314264708/22:50:06/UPI/paytm-64670120@ptys</t>
  </si>
  <si>
    <t>14264708</t>
  </si>
  <si>
    <t>UPI/6063752492 UPI/606375249248/22:50:41/UPI/8957160330@naviaxis</t>
  </si>
  <si>
    <t>75249248</t>
  </si>
  <si>
    <t>05-03-26</t>
  </si>
  <si>
    <t>UPI/6430514180 UPI/643051418068/21:28:02/UPI/relianceretail2.eas</t>
  </si>
  <si>
    <t>51418068</t>
  </si>
  <si>
    <t>07-03-26</t>
  </si>
  <si>
    <t>DIGITA-MUMBAI/ NEFT-AXNH260661101359-GR0WW INVEST TECH PVT LTD -</t>
  </si>
  <si>
    <t>09-03-26</t>
  </si>
  <si>
    <t>UPI/6068823265 UPI/606882326585/19:48:10/UPI/paytm.s1ccuxw@pty/U</t>
  </si>
  <si>
    <t>82326585</t>
  </si>
  <si>
    <t>12-03-26</t>
  </si>
  <si>
    <t>UPI/6071241409 UPI/607124140948/15:22:18/UPI/relianceretail2.eas</t>
  </si>
  <si>
    <t>24140948</t>
  </si>
  <si>
    <t>UPI/6071442475 UPI/607144247523/18:31:01/UPI/bharatpe.9t0x0t0c0e</t>
  </si>
  <si>
    <t>44247523</t>
  </si>
  <si>
    <t>16-03-26</t>
  </si>
  <si>
    <t>UPI/3590016712 UPI/359001671271/10:25:33/UPI/xaillc.cfp@cashfree</t>
  </si>
  <si>
    <t>1671271</t>
  </si>
  <si>
    <t>UPI/8516532994 UPI/851653299429/10:25:44/UDIR/xaillc.cfp@cashfre</t>
  </si>
  <si>
    <t>53299429</t>
  </si>
  <si>
    <t>17-03-26</t>
  </si>
  <si>
    <t>DIGITA-MUMBAI/ NEFT-002630504958-PARTH INFRATECH</t>
  </si>
  <si>
    <t>18-03-26</t>
  </si>
  <si>
    <t>DIGITA-MUMBAI/ NEFT-AXOBR07790531423-NARAYANA EDUCATINAL SOCIETY</t>
  </si>
  <si>
    <t>19-03-26</t>
  </si>
  <si>
    <t>UPI/6444600326 UPI/644460032696/10:24:44/UPI/msedcl2.1776450600.</t>
  </si>
  <si>
    <t>60032696</t>
  </si>
  <si>
    <t>UPI/6444142876 UPI/644414287661/20:45:41/UPI/q495594761@ybl/UPI</t>
  </si>
  <si>
    <t>14287661</t>
  </si>
  <si>
    <t>21-03-26</t>
  </si>
  <si>
    <t>UPI/6080226770 UPI/608022677021/08:24:34/UPI/relianceretail2.eas</t>
  </si>
  <si>
    <t>22677021</t>
  </si>
  <si>
    <t>UPI/6080514652 UPI/608051465225/10:00:25/UPI/relianceretail2.eas</t>
  </si>
  <si>
    <t>51465225</t>
  </si>
  <si>
    <t>UPI/6446324211 UPI/644632421191/18:42:38/UPI/zomatoorder1.gpay@o</t>
  </si>
  <si>
    <t>32421191</t>
  </si>
  <si>
    <t>22-03-26</t>
  </si>
  <si>
    <t>UPI/6447642445 UPI/644764244584/01:19:42/UPI/paytm.s16yi2w@pty/U</t>
  </si>
  <si>
    <t>64244584</t>
  </si>
  <si>
    <t>UPI/6447055550 UPI/644705555021/11:31:00/UPI/relianceretail2.eas</t>
  </si>
  <si>
    <t>5555021</t>
  </si>
  <si>
    <t>25-03-26</t>
  </si>
  <si>
    <t>UPI/6450191682 UPI/645019168274/09:04:26/UPI/groww.brk@validhdfc</t>
  </si>
  <si>
    <t>19168274</t>
  </si>
  <si>
    <t>26-03-26</t>
  </si>
  <si>
    <t>UPI/6085122439 UPI/608512243936/13:01:12/UPI/relianceretail2.eas</t>
  </si>
  <si>
    <t>12243936</t>
  </si>
  <si>
    <t>UPI/6085700828 UPI/608570082870/19:35:07/UPI/paybus8261@ptybl/Se</t>
  </si>
  <si>
    <t>70082870</t>
  </si>
  <si>
    <t>28-03-26</t>
  </si>
  <si>
    <t>UPI/6087098316 UPI/608709831653/09:18:53/UPI/indianrailwayca2526</t>
  </si>
  <si>
    <t>9831653</t>
  </si>
  <si>
    <t>UPI/6453050899 UPI/645305089964/12:49:14/UPI/relianceretail2.eas</t>
  </si>
  <si>
    <t>5089964</t>
  </si>
  <si>
    <t>UPI/6453268996 UPI/645326899626/19:25:13/UPI/relianceretail2.eas</t>
  </si>
  <si>
    <t>26899626</t>
  </si>
  <si>
    <t>29-03-26</t>
  </si>
  <si>
    <t>DIGITB-VADODAR CRA/608709831653/28-03-2026</t>
  </si>
  <si>
    <t>UPI/6088857542 UPI/608885754299/11:02:25/UPI/relianceretail2.eas</t>
  </si>
  <si>
    <t>85754299</t>
  </si>
  <si>
    <t>UPI/6088528670 UPI/608852867095/16:52:44/UPI/relianceretail2.eas</t>
  </si>
  <si>
    <t>52867095</t>
  </si>
  <si>
    <t>UPI/6088409948 UPI/608840994889/21:27:32/UPI/suvagiyaraj2020-2@o</t>
  </si>
  <si>
    <t>40994889</t>
  </si>
  <si>
    <t>30-03-26</t>
  </si>
  <si>
    <t>UPI/6455609262 UPI/645560926211/12:21:52/UPI/pankajsawarkar30@ok</t>
  </si>
  <si>
    <t>60926211</t>
  </si>
  <si>
    <t>31-03-26</t>
  </si>
  <si>
    <t>UPI/6456107767 UPI/645610776760/10:36:13/UPI/tantiavani7@okhdfcb</t>
  </si>
  <si>
    <t>10776760</t>
  </si>
  <si>
    <t>TOTAL</t>
  </si>
  <si>
    <t>Closing Balance (As on statement date)</t>
  </si>
  <si>
    <t>DATE</t>
  </si>
  <si>
    <t>PARTY LEDGER</t>
  </si>
  <si>
    <t>DR/CR</t>
  </si>
  <si>
    <t>NARRATION</t>
  </si>
  <si>
    <t>AMOUNT</t>
  </si>
  <si>
    <t>CHEQUE NO.</t>
  </si>
  <si>
    <t>BANK A/C NAME AS PER TALLY</t>
  </si>
  <si>
    <t>DR</t>
  </si>
  <si>
    <t>CR</t>
  </si>
  <si>
    <t>BEING PAYMENT MADE TO PARTY</t>
  </si>
  <si>
    <t>BEING PAYMENT RECEIVED FROM PARTY</t>
  </si>
  <si>
    <t>CLG/KUBER SALES/BOM</t>
  </si>
  <si>
    <t>CLG/R S SALES/IDB</t>
  </si>
  <si>
    <t>TRFR TO: HEMAL RAJENDRA PATEL</t>
  </si>
  <si>
    <t>CLG/JWALAJE RATNAMA/HDF</t>
  </si>
  <si>
    <t>ICICI (CA - 0393)</t>
  </si>
  <si>
    <t>ZOMATO / ETERNAL LIMITED</t>
  </si>
  <si>
    <t>RAZORPAY</t>
  </si>
  <si>
    <t>PHONEPE PRIVATE LIMITED</t>
  </si>
  <si>
    <t>MESPOS SET</t>
  </si>
  <si>
    <t>SWIGGY (BUNDL TECHNOLOGIES)</t>
  </si>
  <si>
    <t>JWALAAJEE GAS SERVICES (RATNAMA)</t>
  </si>
  <si>
    <t>HEMAL RAJENDRA PATEL</t>
  </si>
  <si>
    <t>KUBER SALES</t>
  </si>
  <si>
    <t>R S SALES</t>
  </si>
  <si>
    <t>NEFT:ICICN52025061800482032/YES BANK LTD/COPENHAGE</t>
  </si>
  <si>
    <t>NEFT-CITIN52025061880311534-ETERNAL LIMITED--07118</t>
  </si>
  <si>
    <t>NEFT-UTIBN62025061843953155-RAZORPAY SOFTWARE PRIV</t>
  </si>
  <si>
    <t>NEFT-UTIBN62025061844365388-BUNDL TECHNOLOGIES PRI</t>
  </si>
  <si>
    <t>NEFT-YESBN12025061902341134-PHONEPE PRIVATE LIMI F</t>
  </si>
  <si>
    <t>NEFT-UTIBN62025061952994166-RAZORPAY SOFTWARE PRIV</t>
  </si>
  <si>
    <t>NEFT-YESBN12025062002266569-PHONEPE PRIVATE LIMI F</t>
  </si>
  <si>
    <t>NEFT-UTIBN62025062062820353-RAZORPAY SOFTWARE PRIV</t>
  </si>
  <si>
    <t>NEFT-YESBN12025062102332465-PHONEPE PRIVATE LIMI F</t>
  </si>
  <si>
    <t>NEFT-UTIBN62025062172847062-RAZORPAY SOFTWARE PRIV</t>
  </si>
  <si>
    <t>NEFT-YESBN12025062202255229-PHONEPE PRIVATE LIMI F</t>
  </si>
  <si>
    <t>NEFT-YESBN12025062302171501-PHONEPE PRIVATE LIMI F</t>
  </si>
  <si>
    <t>NEFT-UTIBN62025062391877140-RAZORPAY SOFTWARE PRIV</t>
  </si>
  <si>
    <t>NEFT-YESBN12025062402416865-PHONEPE PRIVATE LIMI F</t>
  </si>
  <si>
    <t>NEFT-UTIBN62025062401789701-RAZORPAY SOFTWARE PRIV</t>
  </si>
  <si>
    <t>NEFT-YESBN12025062502605280-PHONEPE PRIVATE LIMI F</t>
  </si>
  <si>
    <t>NEFT-UTIBN62025062510871822-BUNDL TECHNOLOGIES PRI</t>
  </si>
  <si>
    <t>NEFT-CITIN52025062583104687-ETERNAL LIMITED--07118</t>
  </si>
  <si>
    <t>NEFT-UTIBN62025062511779673-RAZORPAY SOFTWARE PRIV</t>
  </si>
  <si>
    <t>NEFT-YESBN12025062602508680-PHONEPE PRIVATE LIMI F</t>
  </si>
  <si>
    <t>NEFT-UTIBN62025062621755052-RAZORPAY SOFTWARE PRIV</t>
  </si>
  <si>
    <t>NEFT-YESBN12025062702432454-PHONEPE PRIVATE LIMI F</t>
  </si>
  <si>
    <t>FT-MESPOS SET 10XX088835 270625</t>
  </si>
  <si>
    <t>NEFT-UTIBN62025062731723819-RAZORPAY SOFTWARE PRIV</t>
  </si>
  <si>
    <t>NEFT-YESBN12025062802273362-PHONEPE PRIVATE LIMI F</t>
  </si>
  <si>
    <t>NEFT-YESBN12025062902055767-PHONEPE PRIVATE LIMI F</t>
  </si>
  <si>
    <t>NEFT-YESBN12025063002202132-PHONEPE PRIVATE LIMI F</t>
  </si>
  <si>
    <t>NEFT-UTIBN62025063061219491-RAZORPAY SOFTWARE PRIV</t>
  </si>
  <si>
    <t>2024</t>
  </si>
  <si>
    <t>2026</t>
  </si>
  <si>
    <t>2027</t>
  </si>
  <si>
    <t>2028</t>
  </si>
  <si>
    <t>2029</t>
  </si>
  <si>
    <t>COPENHAGEN HOSPITALITY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</si>
</sst>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0.00"/>
    <numFmt numFmtId="165" formatCode="###,##0.00&quot;Cr&quot;"/>
    <numFmt numFmtId="166" formatCode="dd/mm/yy;@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</font>
    <font>
      <b/>
      <sz val="10"/>
      <color rgb="FFC00000"/>
      <name val="Arial"/>
    </font>
    <font>
      <b/>
      <sz val="10"/>
      <color rgb="FF007A33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165" fontId="3" fillId="0" borderId="0" xfId="0" applyNumberFormat="1" applyFont="1"/>
    <xf numFmtId="164" fontId="0" fillId="0" borderId="0" xfId="0" applyNumberFormat="1"/>
    <xf numFmtId="166" fontId="2" fillId="0" borderId="1" xfId="0" applyNumberFormat="1" applyFont="1" applyBorder="1"/>
    <xf numFmtId="0" fontId="0" fillId="3" borderId="0" xfId="0" applyFill="1"/>
    <xf numFmtId="0" fontId="0" fillId="0" borderId="2" xfId="0" applyFont="1" applyBorder="1" applyAlignment="1">
      <alignment vertical="top" wrapText="1"/>
    </xf>
    <xf numFmtId="0" fontId="4" fillId="0" borderId="0" xfId="0" applyFont="1"/>
    <xf numFmtId="0" fontId="0" fillId="0" borderId="2" xfId="0" applyBorder="1"/>
    <xf numFmtId="0" fontId="5" fillId="0" borderId="3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8"/>
  <sheetViews>
    <sheetView zoomScaleNormal="100" workbookViewId="0">
      <pane ySplit="1" topLeftCell="A630" activePane="bottomLeft" state="frozen"/>
      <selection pane="bottomLeft" activeCell="J3" sqref="J3:J665"/>
    </sheetView>
  </sheetViews>
  <sheetFormatPr defaultColWidth="8.7109375" defaultRowHeight="15" x14ac:dyDescent="0.25"/>
  <cols>
    <col min="1" max="1" width="11" customWidth="1"/>
    <col min="2" max="2" width="55" customWidth="1"/>
    <col min="3" max="3" width="12" customWidth="1"/>
    <col min="4" max="5" width="14" customWidth="1"/>
    <col min="6" max="6" width="16" customWidth="1"/>
    <col min="9" max="9" width="13.140625" customWidth="1"/>
  </cols>
  <sheetData>
    <row r="1" spans="1:10" ht="19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2" t="s">
        <v>6</v>
      </c>
      <c r="B2" s="3" t="s">
        <v>7</v>
      </c>
      <c r="C2" s="2"/>
      <c r="D2" s="4"/>
      <c r="E2" s="4"/>
      <c r="F2" s="5">
        <v>65964.3</v>
      </c>
    </row>
    <row r="3" spans="1:10" x14ac:dyDescent="0.25">
      <c r="A3" s="2" t="s">
        <v>8</v>
      </c>
      <c r="B3" s="3" t="s">
        <v>9</v>
      </c>
      <c r="C3" s="2" t="s">
        <v>10</v>
      </c>
      <c r="D3" s="4">
        <v>15</v>
      </c>
      <c r="E3" s="4"/>
      <c r="F3" s="5">
        <v>65949.3</v>
      </c>
      <c r="I3" s="11">
        <f>+D3+E3</f>
        <v>15</v>
      </c>
      <c r="J3" t="str">
        <f>IF(E3=0,"DR","CR")</f>
        <v>DR</v>
      </c>
    </row>
    <row r="4" spans="1:10" x14ac:dyDescent="0.25">
      <c r="A4" s="2" t="s">
        <v>8</v>
      </c>
      <c r="B4" s="3" t="s">
        <v>11</v>
      </c>
      <c r="C4" s="2" t="s">
        <v>12</v>
      </c>
      <c r="D4" s="4">
        <v>900</v>
      </c>
      <c r="E4" s="4"/>
      <c r="F4" s="5">
        <v>65049.3</v>
      </c>
      <c r="I4" s="11">
        <f t="shared" ref="I4:I67" si="0">+D4+E4</f>
        <v>900</v>
      </c>
      <c r="J4" t="str">
        <f t="shared" ref="J4:J67" si="1">IF(E4=0,"DR","CR")</f>
        <v>DR</v>
      </c>
    </row>
    <row r="5" spans="1:10" x14ac:dyDescent="0.25">
      <c r="A5" s="2" t="s">
        <v>8</v>
      </c>
      <c r="B5" s="3" t="s">
        <v>13</v>
      </c>
      <c r="C5" s="2" t="s">
        <v>14</v>
      </c>
      <c r="D5" s="4">
        <v>69</v>
      </c>
      <c r="E5" s="4"/>
      <c r="F5" s="5">
        <v>64980.3</v>
      </c>
      <c r="I5" s="11">
        <f t="shared" si="0"/>
        <v>69</v>
      </c>
      <c r="J5" t="str">
        <f t="shared" si="1"/>
        <v>DR</v>
      </c>
    </row>
    <row r="6" spans="1:10" x14ac:dyDescent="0.25">
      <c r="A6" s="2" t="s">
        <v>8</v>
      </c>
      <c r="B6" s="3" t="s">
        <v>15</v>
      </c>
      <c r="C6" s="2" t="s">
        <v>16</v>
      </c>
      <c r="D6" s="4">
        <v>101</v>
      </c>
      <c r="E6" s="4"/>
      <c r="F6" s="5">
        <v>64879.3</v>
      </c>
      <c r="I6" s="11">
        <f t="shared" si="0"/>
        <v>101</v>
      </c>
      <c r="J6" t="str">
        <f t="shared" si="1"/>
        <v>DR</v>
      </c>
    </row>
    <row r="7" spans="1:10" x14ac:dyDescent="0.25">
      <c r="A7" s="2" t="s">
        <v>8</v>
      </c>
      <c r="B7" s="3" t="s">
        <v>17</v>
      </c>
      <c r="C7" s="2" t="s">
        <v>18</v>
      </c>
      <c r="D7" s="4">
        <v>15</v>
      </c>
      <c r="E7" s="4"/>
      <c r="F7" s="5">
        <v>64864.3</v>
      </c>
      <c r="I7" s="11">
        <f t="shared" si="0"/>
        <v>15</v>
      </c>
      <c r="J7" t="str">
        <f t="shared" si="1"/>
        <v>DR</v>
      </c>
    </row>
    <row r="8" spans="1:10" x14ac:dyDescent="0.25">
      <c r="A8" s="2" t="s">
        <v>8</v>
      </c>
      <c r="B8" s="3" t="s">
        <v>19</v>
      </c>
      <c r="C8" s="2" t="s">
        <v>20</v>
      </c>
      <c r="D8" s="4">
        <v>865.9</v>
      </c>
      <c r="E8" s="4"/>
      <c r="F8" s="5">
        <v>63998.400000000001</v>
      </c>
      <c r="I8" s="11">
        <f t="shared" si="0"/>
        <v>865.9</v>
      </c>
      <c r="J8" t="str">
        <f t="shared" si="1"/>
        <v>DR</v>
      </c>
    </row>
    <row r="9" spans="1:10" x14ac:dyDescent="0.25">
      <c r="A9" s="2" t="s">
        <v>8</v>
      </c>
      <c r="B9" s="3" t="s">
        <v>21</v>
      </c>
      <c r="C9" s="2" t="s">
        <v>22</v>
      </c>
      <c r="D9" s="4">
        <v>60</v>
      </c>
      <c r="E9" s="4"/>
      <c r="F9" s="5">
        <v>63938.400000000001</v>
      </c>
      <c r="I9" s="11">
        <f t="shared" si="0"/>
        <v>60</v>
      </c>
      <c r="J9" t="str">
        <f t="shared" si="1"/>
        <v>DR</v>
      </c>
    </row>
    <row r="10" spans="1:10" x14ac:dyDescent="0.25">
      <c r="A10" s="2" t="s">
        <v>8</v>
      </c>
      <c r="B10" s="3" t="s">
        <v>23</v>
      </c>
      <c r="C10" s="2" t="s">
        <v>24</v>
      </c>
      <c r="D10" s="4">
        <v>75</v>
      </c>
      <c r="E10" s="4"/>
      <c r="F10" s="5">
        <v>63863.4</v>
      </c>
      <c r="I10" s="11">
        <f t="shared" si="0"/>
        <v>75</v>
      </c>
      <c r="J10" t="str">
        <f t="shared" si="1"/>
        <v>DR</v>
      </c>
    </row>
    <row r="11" spans="1:10" x14ac:dyDescent="0.25">
      <c r="A11" s="2" t="s">
        <v>25</v>
      </c>
      <c r="B11" s="3" t="s">
        <v>26</v>
      </c>
      <c r="C11" s="2" t="s">
        <v>27</v>
      </c>
      <c r="D11" s="4">
        <v>15</v>
      </c>
      <c r="E11" s="4"/>
      <c r="F11" s="5">
        <v>63848.4</v>
      </c>
      <c r="I11" s="11">
        <f t="shared" si="0"/>
        <v>15</v>
      </c>
      <c r="J11" t="str">
        <f t="shared" si="1"/>
        <v>DR</v>
      </c>
    </row>
    <row r="12" spans="1:10" x14ac:dyDescent="0.25">
      <c r="A12" s="2" t="s">
        <v>25</v>
      </c>
      <c r="B12" s="3" t="s">
        <v>28</v>
      </c>
      <c r="C12" s="2" t="s">
        <v>29</v>
      </c>
      <c r="D12" s="4">
        <v>58</v>
      </c>
      <c r="E12" s="4"/>
      <c r="F12" s="5">
        <v>63790.400000000001</v>
      </c>
      <c r="I12" s="11">
        <f t="shared" si="0"/>
        <v>58</v>
      </c>
      <c r="J12" t="str">
        <f t="shared" si="1"/>
        <v>DR</v>
      </c>
    </row>
    <row r="13" spans="1:10" x14ac:dyDescent="0.25">
      <c r="A13" s="2" t="s">
        <v>25</v>
      </c>
      <c r="B13" s="3" t="s">
        <v>30</v>
      </c>
      <c r="C13" s="2" t="s">
        <v>31</v>
      </c>
      <c r="D13" s="4"/>
      <c r="E13" s="4">
        <v>302197</v>
      </c>
      <c r="F13" s="5">
        <v>365987.4</v>
      </c>
      <c r="I13" s="11">
        <f t="shared" si="0"/>
        <v>302197</v>
      </c>
      <c r="J13" t="str">
        <f t="shared" si="1"/>
        <v>CR</v>
      </c>
    </row>
    <row r="14" spans="1:10" x14ac:dyDescent="0.25">
      <c r="A14" s="2" t="s">
        <v>32</v>
      </c>
      <c r="B14" s="3" t="s">
        <v>33</v>
      </c>
      <c r="C14" s="2" t="s">
        <v>34</v>
      </c>
      <c r="D14" s="4">
        <v>50</v>
      </c>
      <c r="E14" s="4"/>
      <c r="F14" s="5">
        <v>365937.4</v>
      </c>
      <c r="I14" s="11">
        <f t="shared" si="0"/>
        <v>50</v>
      </c>
      <c r="J14" t="str">
        <f t="shared" si="1"/>
        <v>DR</v>
      </c>
    </row>
    <row r="15" spans="1:10" x14ac:dyDescent="0.25">
      <c r="A15" s="2" t="s">
        <v>32</v>
      </c>
      <c r="B15" s="3" t="s">
        <v>35</v>
      </c>
      <c r="C15" s="2" t="s">
        <v>36</v>
      </c>
      <c r="D15" s="4">
        <v>19</v>
      </c>
      <c r="E15" s="4"/>
      <c r="F15" s="5">
        <v>365918.4</v>
      </c>
      <c r="I15" s="11">
        <f t="shared" si="0"/>
        <v>19</v>
      </c>
      <c r="J15" t="str">
        <f t="shared" si="1"/>
        <v>DR</v>
      </c>
    </row>
    <row r="16" spans="1:10" x14ac:dyDescent="0.25">
      <c r="A16" s="2" t="s">
        <v>32</v>
      </c>
      <c r="B16" s="3" t="s">
        <v>37</v>
      </c>
      <c r="C16" s="2" t="s">
        <v>38</v>
      </c>
      <c r="D16" s="4">
        <v>20</v>
      </c>
      <c r="E16" s="4"/>
      <c r="F16" s="5">
        <v>365898.4</v>
      </c>
      <c r="I16" s="11">
        <f t="shared" si="0"/>
        <v>20</v>
      </c>
      <c r="J16" t="str">
        <f t="shared" si="1"/>
        <v>DR</v>
      </c>
    </row>
    <row r="17" spans="1:10" x14ac:dyDescent="0.25">
      <c r="A17" s="2" t="s">
        <v>32</v>
      </c>
      <c r="B17" s="3" t="s">
        <v>39</v>
      </c>
      <c r="C17" s="2" t="s">
        <v>40</v>
      </c>
      <c r="D17" s="4">
        <v>375</v>
      </c>
      <c r="E17" s="4"/>
      <c r="F17" s="5">
        <v>365523.4</v>
      </c>
      <c r="I17" s="11">
        <f t="shared" si="0"/>
        <v>375</v>
      </c>
      <c r="J17" t="str">
        <f t="shared" si="1"/>
        <v>DR</v>
      </c>
    </row>
    <row r="18" spans="1:10" x14ac:dyDescent="0.25">
      <c r="A18" s="2" t="s">
        <v>32</v>
      </c>
      <c r="B18" s="3" t="s">
        <v>41</v>
      </c>
      <c r="C18" s="2" t="s">
        <v>42</v>
      </c>
      <c r="D18" s="4">
        <v>250</v>
      </c>
      <c r="E18" s="4"/>
      <c r="F18" s="5">
        <v>365273.4</v>
      </c>
      <c r="I18" s="11">
        <f t="shared" si="0"/>
        <v>250</v>
      </c>
      <c r="J18" t="str">
        <f t="shared" si="1"/>
        <v>DR</v>
      </c>
    </row>
    <row r="19" spans="1:10" x14ac:dyDescent="0.25">
      <c r="A19" s="2" t="s">
        <v>43</v>
      </c>
      <c r="B19" s="3" t="s">
        <v>44</v>
      </c>
      <c r="C19" s="2" t="s">
        <v>45</v>
      </c>
      <c r="D19" s="4">
        <v>300</v>
      </c>
      <c r="E19" s="4"/>
      <c r="F19" s="5">
        <v>364973.4</v>
      </c>
      <c r="I19" s="11">
        <f t="shared" si="0"/>
        <v>300</v>
      </c>
      <c r="J19" t="str">
        <f t="shared" si="1"/>
        <v>DR</v>
      </c>
    </row>
    <row r="20" spans="1:10" x14ac:dyDescent="0.25">
      <c r="A20" s="2" t="s">
        <v>43</v>
      </c>
      <c r="B20" s="3" t="s">
        <v>46</v>
      </c>
      <c r="C20" s="2" t="s">
        <v>47</v>
      </c>
      <c r="D20" s="4">
        <v>40</v>
      </c>
      <c r="E20" s="4"/>
      <c r="F20" s="5">
        <v>364933.4</v>
      </c>
      <c r="I20" s="11">
        <f t="shared" si="0"/>
        <v>40</v>
      </c>
      <c r="J20" t="str">
        <f t="shared" si="1"/>
        <v>DR</v>
      </c>
    </row>
    <row r="21" spans="1:10" x14ac:dyDescent="0.25">
      <c r="A21" s="2" t="s">
        <v>43</v>
      </c>
      <c r="B21" s="3" t="s">
        <v>48</v>
      </c>
      <c r="C21" s="2" t="s">
        <v>49</v>
      </c>
      <c r="D21" s="4">
        <v>20</v>
      </c>
      <c r="E21" s="4"/>
      <c r="F21" s="5">
        <v>364913.4</v>
      </c>
      <c r="I21" s="11">
        <f t="shared" si="0"/>
        <v>20</v>
      </c>
      <c r="J21" t="str">
        <f t="shared" si="1"/>
        <v>DR</v>
      </c>
    </row>
    <row r="22" spans="1:10" x14ac:dyDescent="0.25">
      <c r="A22" s="2" t="s">
        <v>50</v>
      </c>
      <c r="B22" s="3" t="s">
        <v>51</v>
      </c>
      <c r="C22" s="2" t="s">
        <v>52</v>
      </c>
      <c r="D22" s="4">
        <v>40</v>
      </c>
      <c r="E22" s="4"/>
      <c r="F22" s="5">
        <v>364873.4</v>
      </c>
      <c r="I22" s="11">
        <f t="shared" si="0"/>
        <v>40</v>
      </c>
      <c r="J22" t="str">
        <f t="shared" si="1"/>
        <v>DR</v>
      </c>
    </row>
    <row r="23" spans="1:10" x14ac:dyDescent="0.25">
      <c r="A23" s="2" t="s">
        <v>50</v>
      </c>
      <c r="B23" s="3" t="s">
        <v>53</v>
      </c>
      <c r="C23" s="2" t="s">
        <v>54</v>
      </c>
      <c r="D23" s="4">
        <v>19</v>
      </c>
      <c r="E23" s="4"/>
      <c r="F23" s="5">
        <v>364854.4</v>
      </c>
      <c r="I23" s="11">
        <f t="shared" si="0"/>
        <v>19</v>
      </c>
      <c r="J23" t="str">
        <f t="shared" si="1"/>
        <v>DR</v>
      </c>
    </row>
    <row r="24" spans="1:10" x14ac:dyDescent="0.25">
      <c r="A24" s="2" t="s">
        <v>50</v>
      </c>
      <c r="B24" s="3" t="s">
        <v>55</v>
      </c>
      <c r="C24" s="2" t="s">
        <v>56</v>
      </c>
      <c r="D24" s="4">
        <v>30</v>
      </c>
      <c r="E24" s="4"/>
      <c r="F24" s="5">
        <v>364824.4</v>
      </c>
      <c r="I24" s="11">
        <f t="shared" si="0"/>
        <v>30</v>
      </c>
      <c r="J24" t="str">
        <f t="shared" si="1"/>
        <v>DR</v>
      </c>
    </row>
    <row r="25" spans="1:10" x14ac:dyDescent="0.25">
      <c r="A25" s="2" t="s">
        <v>57</v>
      </c>
      <c r="B25" s="3" t="s">
        <v>58</v>
      </c>
      <c r="C25" s="2" t="s">
        <v>59</v>
      </c>
      <c r="D25" s="4">
        <v>15</v>
      </c>
      <c r="E25" s="4"/>
      <c r="F25" s="5">
        <v>364809.4</v>
      </c>
      <c r="I25" s="11">
        <f t="shared" si="0"/>
        <v>15</v>
      </c>
      <c r="J25" t="str">
        <f t="shared" si="1"/>
        <v>DR</v>
      </c>
    </row>
    <row r="26" spans="1:10" x14ac:dyDescent="0.25">
      <c r="A26" s="2" t="s">
        <v>57</v>
      </c>
      <c r="B26" s="3" t="s">
        <v>60</v>
      </c>
      <c r="C26" s="2" t="s">
        <v>61</v>
      </c>
      <c r="D26" s="4">
        <v>62</v>
      </c>
      <c r="E26" s="4"/>
      <c r="F26" s="5">
        <v>364747.4</v>
      </c>
      <c r="I26" s="11">
        <f t="shared" si="0"/>
        <v>62</v>
      </c>
      <c r="J26" t="str">
        <f t="shared" si="1"/>
        <v>DR</v>
      </c>
    </row>
    <row r="27" spans="1:10" x14ac:dyDescent="0.25">
      <c r="A27" s="2" t="s">
        <v>57</v>
      </c>
      <c r="B27" s="3" t="s">
        <v>62</v>
      </c>
      <c r="C27" s="2" t="s">
        <v>63</v>
      </c>
      <c r="D27" s="4">
        <v>299</v>
      </c>
      <c r="E27" s="4"/>
      <c r="F27" s="5">
        <v>364448.4</v>
      </c>
      <c r="I27" s="11">
        <f t="shared" si="0"/>
        <v>299</v>
      </c>
      <c r="J27" t="str">
        <f t="shared" si="1"/>
        <v>DR</v>
      </c>
    </row>
    <row r="28" spans="1:10" x14ac:dyDescent="0.25">
      <c r="A28" s="2" t="s">
        <v>57</v>
      </c>
      <c r="B28" s="3" t="s">
        <v>64</v>
      </c>
      <c r="C28" s="2" t="s">
        <v>65</v>
      </c>
      <c r="D28" s="4">
        <v>470.82</v>
      </c>
      <c r="E28" s="4"/>
      <c r="F28" s="5">
        <v>363977.58</v>
      </c>
      <c r="I28" s="11">
        <f t="shared" si="0"/>
        <v>470.82</v>
      </c>
      <c r="J28" t="str">
        <f t="shared" si="1"/>
        <v>DR</v>
      </c>
    </row>
    <row r="29" spans="1:10" x14ac:dyDescent="0.25">
      <c r="A29" s="2" t="s">
        <v>57</v>
      </c>
      <c r="B29" s="3" t="s">
        <v>66</v>
      </c>
      <c r="C29" s="2" t="s">
        <v>67</v>
      </c>
      <c r="D29" s="4">
        <v>35</v>
      </c>
      <c r="E29" s="4"/>
      <c r="F29" s="5">
        <v>363942.58</v>
      </c>
      <c r="I29" s="11">
        <f t="shared" si="0"/>
        <v>35</v>
      </c>
      <c r="J29" t="str">
        <f t="shared" si="1"/>
        <v>DR</v>
      </c>
    </row>
    <row r="30" spans="1:10" x14ac:dyDescent="0.25">
      <c r="A30" s="2" t="s">
        <v>68</v>
      </c>
      <c r="B30" s="3" t="s">
        <v>69</v>
      </c>
      <c r="C30" s="2" t="s">
        <v>70</v>
      </c>
      <c r="D30" s="4">
        <v>72</v>
      </c>
      <c r="E30" s="4"/>
      <c r="F30" s="5">
        <v>363870.58</v>
      </c>
      <c r="I30" s="11">
        <f t="shared" si="0"/>
        <v>72</v>
      </c>
      <c r="J30" t="str">
        <f t="shared" si="1"/>
        <v>DR</v>
      </c>
    </row>
    <row r="31" spans="1:10" x14ac:dyDescent="0.25">
      <c r="A31" s="2" t="s">
        <v>68</v>
      </c>
      <c r="B31" s="3" t="s">
        <v>71</v>
      </c>
      <c r="C31" s="2" t="s">
        <v>72</v>
      </c>
      <c r="D31" s="4">
        <v>15</v>
      </c>
      <c r="E31" s="4"/>
      <c r="F31" s="5">
        <v>363855.58</v>
      </c>
      <c r="I31" s="11">
        <f t="shared" si="0"/>
        <v>15</v>
      </c>
      <c r="J31" t="str">
        <f t="shared" si="1"/>
        <v>DR</v>
      </c>
    </row>
    <row r="32" spans="1:10" x14ac:dyDescent="0.25">
      <c r="A32" s="2" t="s">
        <v>68</v>
      </c>
      <c r="B32" s="3" t="s">
        <v>73</v>
      </c>
      <c r="C32" s="2" t="s">
        <v>74</v>
      </c>
      <c r="D32" s="4">
        <v>60</v>
      </c>
      <c r="E32" s="4"/>
      <c r="F32" s="5">
        <v>363795.58</v>
      </c>
      <c r="I32" s="11">
        <f t="shared" si="0"/>
        <v>60</v>
      </c>
      <c r="J32" t="str">
        <f t="shared" si="1"/>
        <v>DR</v>
      </c>
    </row>
    <row r="33" spans="1:10" x14ac:dyDescent="0.25">
      <c r="A33" s="2" t="s">
        <v>68</v>
      </c>
      <c r="B33" s="3" t="s">
        <v>75</v>
      </c>
      <c r="C33" s="2" t="s">
        <v>76</v>
      </c>
      <c r="D33" s="4"/>
      <c r="E33" s="4">
        <v>500</v>
      </c>
      <c r="F33" s="5">
        <v>364295.58</v>
      </c>
      <c r="I33" s="11">
        <f t="shared" si="0"/>
        <v>500</v>
      </c>
      <c r="J33" t="str">
        <f t="shared" si="1"/>
        <v>CR</v>
      </c>
    </row>
    <row r="34" spans="1:10" x14ac:dyDescent="0.25">
      <c r="A34" s="2" t="s">
        <v>68</v>
      </c>
      <c r="B34" s="3" t="s">
        <v>77</v>
      </c>
      <c r="C34" s="2" t="s">
        <v>78</v>
      </c>
      <c r="D34" s="4">
        <v>932.12</v>
      </c>
      <c r="E34" s="4"/>
      <c r="F34" s="5">
        <v>363363.46</v>
      </c>
      <c r="I34" s="11">
        <f t="shared" si="0"/>
        <v>932.12</v>
      </c>
      <c r="J34" t="str">
        <f t="shared" si="1"/>
        <v>DR</v>
      </c>
    </row>
    <row r="35" spans="1:10" x14ac:dyDescent="0.25">
      <c r="A35" s="2" t="s">
        <v>79</v>
      </c>
      <c r="B35" s="3" t="s">
        <v>80</v>
      </c>
      <c r="C35" s="2" t="s">
        <v>81</v>
      </c>
      <c r="D35" s="4">
        <v>15</v>
      </c>
      <c r="E35" s="4"/>
      <c r="F35" s="5">
        <v>363348.46</v>
      </c>
      <c r="I35" s="11">
        <f t="shared" si="0"/>
        <v>15</v>
      </c>
      <c r="J35" t="str">
        <f t="shared" si="1"/>
        <v>DR</v>
      </c>
    </row>
    <row r="36" spans="1:10" x14ac:dyDescent="0.25">
      <c r="A36" s="2" t="s">
        <v>79</v>
      </c>
      <c r="B36" s="3" t="s">
        <v>82</v>
      </c>
      <c r="C36" s="2"/>
      <c r="D36" s="4"/>
      <c r="E36" s="4">
        <v>35882.75</v>
      </c>
      <c r="F36" s="5">
        <v>399231.21</v>
      </c>
      <c r="I36" s="11">
        <f t="shared" si="0"/>
        <v>35882.75</v>
      </c>
      <c r="J36" t="str">
        <f t="shared" si="1"/>
        <v>CR</v>
      </c>
    </row>
    <row r="37" spans="1:10" x14ac:dyDescent="0.25">
      <c r="A37" s="2" t="s">
        <v>79</v>
      </c>
      <c r="B37" s="3" t="s">
        <v>83</v>
      </c>
      <c r="C37" s="2" t="s">
        <v>84</v>
      </c>
      <c r="D37" s="4">
        <v>60</v>
      </c>
      <c r="E37" s="4"/>
      <c r="F37" s="5">
        <v>399171.21</v>
      </c>
      <c r="I37" s="11">
        <f t="shared" si="0"/>
        <v>60</v>
      </c>
      <c r="J37" t="str">
        <f t="shared" si="1"/>
        <v>DR</v>
      </c>
    </row>
    <row r="38" spans="1:10" x14ac:dyDescent="0.25">
      <c r="A38" s="2" t="s">
        <v>79</v>
      </c>
      <c r="B38" s="3" t="s">
        <v>85</v>
      </c>
      <c r="C38" s="2" t="s">
        <v>86</v>
      </c>
      <c r="D38" s="4">
        <v>10</v>
      </c>
      <c r="E38" s="4"/>
      <c r="F38" s="5">
        <v>399161.21</v>
      </c>
      <c r="I38" s="11">
        <f t="shared" si="0"/>
        <v>10</v>
      </c>
      <c r="J38" t="str">
        <f t="shared" si="1"/>
        <v>DR</v>
      </c>
    </row>
    <row r="39" spans="1:10" x14ac:dyDescent="0.25">
      <c r="A39" s="2" t="s">
        <v>87</v>
      </c>
      <c r="B39" s="3" t="s">
        <v>88</v>
      </c>
      <c r="C39" s="2"/>
      <c r="D39" s="4">
        <v>0.24</v>
      </c>
      <c r="E39" s="4"/>
      <c r="F39" s="5">
        <v>399160.97</v>
      </c>
      <c r="I39" s="11">
        <f t="shared" si="0"/>
        <v>0.24</v>
      </c>
      <c r="J39" t="str">
        <f t="shared" si="1"/>
        <v>DR</v>
      </c>
    </row>
    <row r="40" spans="1:10" x14ac:dyDescent="0.25">
      <c r="A40" s="2" t="s">
        <v>87</v>
      </c>
      <c r="B40" s="3" t="s">
        <v>89</v>
      </c>
      <c r="C40" s="2" t="s">
        <v>90</v>
      </c>
      <c r="D40" s="4">
        <v>15</v>
      </c>
      <c r="E40" s="4"/>
      <c r="F40" s="5">
        <v>399145.97</v>
      </c>
      <c r="I40" s="11">
        <f t="shared" si="0"/>
        <v>15</v>
      </c>
      <c r="J40" t="str">
        <f t="shared" si="1"/>
        <v>DR</v>
      </c>
    </row>
    <row r="41" spans="1:10" x14ac:dyDescent="0.25">
      <c r="A41" s="2" t="s">
        <v>87</v>
      </c>
      <c r="B41" s="3" t="s">
        <v>91</v>
      </c>
      <c r="C41" s="2" t="s">
        <v>92</v>
      </c>
      <c r="D41" s="4">
        <v>78</v>
      </c>
      <c r="E41" s="4"/>
      <c r="F41" s="5">
        <v>399067.97</v>
      </c>
      <c r="I41" s="11">
        <f t="shared" si="0"/>
        <v>78</v>
      </c>
      <c r="J41" t="str">
        <f t="shared" si="1"/>
        <v>DR</v>
      </c>
    </row>
    <row r="42" spans="1:10" x14ac:dyDescent="0.25">
      <c r="A42" s="2" t="s">
        <v>93</v>
      </c>
      <c r="B42" s="3" t="s">
        <v>94</v>
      </c>
      <c r="C42" s="2" t="s">
        <v>95</v>
      </c>
      <c r="D42" s="4">
        <v>15</v>
      </c>
      <c r="E42" s="4"/>
      <c r="F42" s="5">
        <v>399052.97</v>
      </c>
      <c r="I42" s="11">
        <f t="shared" si="0"/>
        <v>15</v>
      </c>
      <c r="J42" t="str">
        <f t="shared" si="1"/>
        <v>DR</v>
      </c>
    </row>
    <row r="43" spans="1:10" x14ac:dyDescent="0.25">
      <c r="A43" s="2" t="s">
        <v>93</v>
      </c>
      <c r="B43" s="3" t="s">
        <v>96</v>
      </c>
      <c r="C43" s="2" t="s">
        <v>97</v>
      </c>
      <c r="D43" s="4">
        <v>20</v>
      </c>
      <c r="E43" s="4"/>
      <c r="F43" s="5">
        <v>399032.97</v>
      </c>
      <c r="I43" s="11">
        <f t="shared" si="0"/>
        <v>20</v>
      </c>
      <c r="J43" t="str">
        <f t="shared" si="1"/>
        <v>DR</v>
      </c>
    </row>
    <row r="44" spans="1:10" x14ac:dyDescent="0.25">
      <c r="A44" s="2" t="s">
        <v>93</v>
      </c>
      <c r="B44" s="3" t="s">
        <v>98</v>
      </c>
      <c r="C44" s="2" t="s">
        <v>99</v>
      </c>
      <c r="D44" s="4">
        <v>1000</v>
      </c>
      <c r="E44" s="4"/>
      <c r="F44" s="5">
        <v>398032.97</v>
      </c>
      <c r="I44" s="11">
        <f t="shared" si="0"/>
        <v>1000</v>
      </c>
      <c r="J44" t="str">
        <f t="shared" si="1"/>
        <v>DR</v>
      </c>
    </row>
    <row r="45" spans="1:10" x14ac:dyDescent="0.25">
      <c r="A45" s="2" t="s">
        <v>93</v>
      </c>
      <c r="B45" s="3" t="s">
        <v>100</v>
      </c>
      <c r="C45" s="2" t="s">
        <v>101</v>
      </c>
      <c r="D45" s="4">
        <v>10</v>
      </c>
      <c r="E45" s="4"/>
      <c r="F45" s="5">
        <v>398022.97</v>
      </c>
      <c r="I45" s="11">
        <f t="shared" si="0"/>
        <v>10</v>
      </c>
      <c r="J45" t="str">
        <f t="shared" si="1"/>
        <v>DR</v>
      </c>
    </row>
    <row r="46" spans="1:10" x14ac:dyDescent="0.25">
      <c r="A46" s="2" t="s">
        <v>93</v>
      </c>
      <c r="B46" s="3" t="s">
        <v>102</v>
      </c>
      <c r="C46" s="2" t="s">
        <v>103</v>
      </c>
      <c r="D46" s="4">
        <v>10</v>
      </c>
      <c r="E46" s="4"/>
      <c r="F46" s="5">
        <v>398012.97</v>
      </c>
      <c r="I46" s="11">
        <f t="shared" si="0"/>
        <v>10</v>
      </c>
      <c r="J46" t="str">
        <f t="shared" si="1"/>
        <v>DR</v>
      </c>
    </row>
    <row r="47" spans="1:10" x14ac:dyDescent="0.25">
      <c r="A47" s="2" t="s">
        <v>93</v>
      </c>
      <c r="B47" s="3" t="s">
        <v>104</v>
      </c>
      <c r="C47" s="2" t="s">
        <v>105</v>
      </c>
      <c r="D47" s="4">
        <v>10</v>
      </c>
      <c r="E47" s="4"/>
      <c r="F47" s="5">
        <v>398002.97</v>
      </c>
      <c r="I47" s="11">
        <f t="shared" si="0"/>
        <v>10</v>
      </c>
      <c r="J47" t="str">
        <f t="shared" si="1"/>
        <v>DR</v>
      </c>
    </row>
    <row r="48" spans="1:10" x14ac:dyDescent="0.25">
      <c r="A48" s="2" t="s">
        <v>106</v>
      </c>
      <c r="B48" s="3" t="s">
        <v>107</v>
      </c>
      <c r="C48" s="2" t="s">
        <v>108</v>
      </c>
      <c r="D48" s="4"/>
      <c r="E48" s="4">
        <v>1000</v>
      </c>
      <c r="F48" s="5">
        <v>399002.97</v>
      </c>
      <c r="I48" s="11">
        <f t="shared" si="0"/>
        <v>1000</v>
      </c>
      <c r="J48" t="str">
        <f t="shared" si="1"/>
        <v>CR</v>
      </c>
    </row>
    <row r="49" spans="1:10" x14ac:dyDescent="0.25">
      <c r="A49" s="2" t="s">
        <v>106</v>
      </c>
      <c r="B49" s="3" t="s">
        <v>109</v>
      </c>
      <c r="C49" s="2" t="s">
        <v>110</v>
      </c>
      <c r="D49" s="4">
        <v>130</v>
      </c>
      <c r="E49" s="4"/>
      <c r="F49" s="5">
        <v>398872.97</v>
      </c>
      <c r="I49" s="11">
        <f t="shared" si="0"/>
        <v>130</v>
      </c>
      <c r="J49" t="str">
        <f t="shared" si="1"/>
        <v>DR</v>
      </c>
    </row>
    <row r="50" spans="1:10" x14ac:dyDescent="0.25">
      <c r="A50" s="2" t="s">
        <v>111</v>
      </c>
      <c r="B50" s="3" t="s">
        <v>112</v>
      </c>
      <c r="C50" s="2" t="s">
        <v>113</v>
      </c>
      <c r="D50" s="4">
        <v>15</v>
      </c>
      <c r="E50" s="4"/>
      <c r="F50" s="5">
        <v>398857.97</v>
      </c>
      <c r="I50" s="11">
        <f t="shared" si="0"/>
        <v>15</v>
      </c>
      <c r="J50" t="str">
        <f t="shared" si="1"/>
        <v>DR</v>
      </c>
    </row>
    <row r="51" spans="1:10" x14ac:dyDescent="0.25">
      <c r="A51" s="2" t="s">
        <v>111</v>
      </c>
      <c r="B51" s="3" t="s">
        <v>114</v>
      </c>
      <c r="C51" s="2" t="s">
        <v>115</v>
      </c>
      <c r="D51" s="4">
        <v>60</v>
      </c>
      <c r="E51" s="4"/>
      <c r="F51" s="5">
        <v>398797.97</v>
      </c>
      <c r="I51" s="11">
        <f t="shared" si="0"/>
        <v>60</v>
      </c>
      <c r="J51" t="str">
        <f t="shared" si="1"/>
        <v>DR</v>
      </c>
    </row>
    <row r="52" spans="1:10" x14ac:dyDescent="0.25">
      <c r="A52" s="2" t="s">
        <v>116</v>
      </c>
      <c r="B52" s="3" t="s">
        <v>117</v>
      </c>
      <c r="C52" s="2" t="s">
        <v>118</v>
      </c>
      <c r="D52" s="4">
        <v>15</v>
      </c>
      <c r="E52" s="4"/>
      <c r="F52" s="5">
        <v>398782.97</v>
      </c>
      <c r="I52" s="11">
        <f t="shared" si="0"/>
        <v>15</v>
      </c>
      <c r="J52" t="str">
        <f t="shared" si="1"/>
        <v>DR</v>
      </c>
    </row>
    <row r="53" spans="1:10" x14ac:dyDescent="0.25">
      <c r="A53" s="2" t="s">
        <v>116</v>
      </c>
      <c r="B53" s="3" t="s">
        <v>119</v>
      </c>
      <c r="C53" s="2" t="s">
        <v>120</v>
      </c>
      <c r="D53" s="4">
        <v>50</v>
      </c>
      <c r="E53" s="4"/>
      <c r="F53" s="5">
        <v>398732.97</v>
      </c>
      <c r="I53" s="11">
        <f t="shared" si="0"/>
        <v>50</v>
      </c>
      <c r="J53" t="str">
        <f t="shared" si="1"/>
        <v>DR</v>
      </c>
    </row>
    <row r="54" spans="1:10" x14ac:dyDescent="0.25">
      <c r="A54" s="2" t="s">
        <v>116</v>
      </c>
      <c r="B54" s="3" t="s">
        <v>121</v>
      </c>
      <c r="C54" s="2" t="s">
        <v>122</v>
      </c>
      <c r="D54" s="4">
        <v>20</v>
      </c>
      <c r="E54" s="4"/>
      <c r="F54" s="5">
        <v>398712.97</v>
      </c>
      <c r="I54" s="11">
        <f t="shared" si="0"/>
        <v>20</v>
      </c>
      <c r="J54" t="str">
        <f t="shared" si="1"/>
        <v>DR</v>
      </c>
    </row>
    <row r="55" spans="1:10" x14ac:dyDescent="0.25">
      <c r="A55" s="2" t="s">
        <v>123</v>
      </c>
      <c r="B55" s="3" t="s">
        <v>124</v>
      </c>
      <c r="C55" s="2" t="s">
        <v>125</v>
      </c>
      <c r="D55" s="4">
        <v>936.58</v>
      </c>
      <c r="E55" s="4"/>
      <c r="F55" s="5">
        <v>397776.39</v>
      </c>
      <c r="I55" s="11">
        <f t="shared" si="0"/>
        <v>936.58</v>
      </c>
      <c r="J55" t="str">
        <f t="shared" si="1"/>
        <v>DR</v>
      </c>
    </row>
    <row r="56" spans="1:10" x14ac:dyDescent="0.25">
      <c r="A56" s="2" t="s">
        <v>123</v>
      </c>
      <c r="B56" s="3" t="s">
        <v>126</v>
      </c>
      <c r="C56" s="2" t="s">
        <v>127</v>
      </c>
      <c r="D56" s="4">
        <v>20</v>
      </c>
      <c r="E56" s="4"/>
      <c r="F56" s="5">
        <v>397756.39</v>
      </c>
      <c r="I56" s="11">
        <f t="shared" si="0"/>
        <v>20</v>
      </c>
      <c r="J56" t="str">
        <f t="shared" si="1"/>
        <v>DR</v>
      </c>
    </row>
    <row r="57" spans="1:10" x14ac:dyDescent="0.25">
      <c r="A57" s="2" t="s">
        <v>123</v>
      </c>
      <c r="B57" s="3" t="s">
        <v>128</v>
      </c>
      <c r="C57" s="2" t="s">
        <v>129</v>
      </c>
      <c r="D57" s="4">
        <v>15780</v>
      </c>
      <c r="E57" s="4"/>
      <c r="F57" s="5">
        <v>381976.39</v>
      </c>
      <c r="I57" s="11">
        <f t="shared" si="0"/>
        <v>15780</v>
      </c>
      <c r="J57" t="str">
        <f t="shared" si="1"/>
        <v>DR</v>
      </c>
    </row>
    <row r="58" spans="1:10" x14ac:dyDescent="0.25">
      <c r="A58" s="2" t="s">
        <v>123</v>
      </c>
      <c r="B58" s="3" t="s">
        <v>130</v>
      </c>
      <c r="C58" s="2" t="s">
        <v>131</v>
      </c>
      <c r="D58" s="4">
        <v>100</v>
      </c>
      <c r="E58" s="4"/>
      <c r="F58" s="5">
        <v>381876.39</v>
      </c>
      <c r="I58" s="11">
        <f t="shared" si="0"/>
        <v>100</v>
      </c>
      <c r="J58" t="str">
        <f t="shared" si="1"/>
        <v>DR</v>
      </c>
    </row>
    <row r="59" spans="1:10" x14ac:dyDescent="0.25">
      <c r="A59" s="2" t="s">
        <v>123</v>
      </c>
      <c r="B59" s="3" t="s">
        <v>132</v>
      </c>
      <c r="C59" s="2" t="s">
        <v>133</v>
      </c>
      <c r="D59" s="4">
        <v>50</v>
      </c>
      <c r="E59" s="4"/>
      <c r="F59" s="5">
        <v>381826.39</v>
      </c>
      <c r="I59" s="11">
        <f t="shared" si="0"/>
        <v>50</v>
      </c>
      <c r="J59" t="str">
        <f t="shared" si="1"/>
        <v>DR</v>
      </c>
    </row>
    <row r="60" spans="1:10" x14ac:dyDescent="0.25">
      <c r="A60" s="2" t="s">
        <v>134</v>
      </c>
      <c r="B60" s="3" t="s">
        <v>135</v>
      </c>
      <c r="C60" s="2" t="s">
        <v>136</v>
      </c>
      <c r="D60" s="4">
        <v>15</v>
      </c>
      <c r="E60" s="4"/>
      <c r="F60" s="5">
        <v>381811.39</v>
      </c>
      <c r="I60" s="11">
        <f t="shared" si="0"/>
        <v>15</v>
      </c>
      <c r="J60" t="str">
        <f t="shared" si="1"/>
        <v>DR</v>
      </c>
    </row>
    <row r="61" spans="1:10" x14ac:dyDescent="0.25">
      <c r="A61" s="2" t="s">
        <v>134</v>
      </c>
      <c r="B61" s="3" t="s">
        <v>137</v>
      </c>
      <c r="C61" s="2" t="s">
        <v>138</v>
      </c>
      <c r="D61" s="4">
        <v>60</v>
      </c>
      <c r="E61" s="4"/>
      <c r="F61" s="5">
        <v>381751.39</v>
      </c>
      <c r="I61" s="11">
        <f t="shared" si="0"/>
        <v>60</v>
      </c>
      <c r="J61" t="str">
        <f t="shared" si="1"/>
        <v>DR</v>
      </c>
    </row>
    <row r="62" spans="1:10" x14ac:dyDescent="0.25">
      <c r="A62" s="2" t="s">
        <v>134</v>
      </c>
      <c r="B62" s="3" t="s">
        <v>139</v>
      </c>
      <c r="C62" s="2" t="s">
        <v>140</v>
      </c>
      <c r="D62" s="4">
        <v>153</v>
      </c>
      <c r="E62" s="4"/>
      <c r="F62" s="5">
        <v>381598.39</v>
      </c>
      <c r="I62" s="11">
        <f t="shared" si="0"/>
        <v>153</v>
      </c>
      <c r="J62" t="str">
        <f t="shared" si="1"/>
        <v>DR</v>
      </c>
    </row>
    <row r="63" spans="1:10" x14ac:dyDescent="0.25">
      <c r="A63" s="2" t="s">
        <v>134</v>
      </c>
      <c r="B63" s="3" t="s">
        <v>141</v>
      </c>
      <c r="C63" s="2" t="s">
        <v>142</v>
      </c>
      <c r="D63" s="4">
        <v>30</v>
      </c>
      <c r="E63" s="4"/>
      <c r="F63" s="5">
        <v>381568.39</v>
      </c>
      <c r="I63" s="11">
        <f t="shared" si="0"/>
        <v>30</v>
      </c>
      <c r="J63" t="str">
        <f t="shared" si="1"/>
        <v>DR</v>
      </c>
    </row>
    <row r="64" spans="1:10" x14ac:dyDescent="0.25">
      <c r="A64" s="2" t="s">
        <v>143</v>
      </c>
      <c r="B64" s="3" t="s">
        <v>144</v>
      </c>
      <c r="C64" s="2" t="s">
        <v>145</v>
      </c>
      <c r="D64" s="4">
        <v>15</v>
      </c>
      <c r="E64" s="4"/>
      <c r="F64" s="5">
        <v>381553.39</v>
      </c>
      <c r="I64" s="11">
        <f t="shared" si="0"/>
        <v>15</v>
      </c>
      <c r="J64" t="str">
        <f t="shared" si="1"/>
        <v>DR</v>
      </c>
    </row>
    <row r="65" spans="1:10" x14ac:dyDescent="0.25">
      <c r="A65" s="2" t="s">
        <v>143</v>
      </c>
      <c r="B65" s="3" t="s">
        <v>146</v>
      </c>
      <c r="C65" s="2" t="s">
        <v>147</v>
      </c>
      <c r="D65" s="4">
        <v>60</v>
      </c>
      <c r="E65" s="4"/>
      <c r="F65" s="5">
        <v>381493.39</v>
      </c>
      <c r="I65" s="11">
        <f t="shared" si="0"/>
        <v>60</v>
      </c>
      <c r="J65" t="str">
        <f t="shared" si="1"/>
        <v>DR</v>
      </c>
    </row>
    <row r="66" spans="1:10" x14ac:dyDescent="0.25">
      <c r="A66" s="2" t="s">
        <v>143</v>
      </c>
      <c r="B66" s="3" t="s">
        <v>148</v>
      </c>
      <c r="C66" s="2" t="s">
        <v>149</v>
      </c>
      <c r="D66" s="4">
        <v>15</v>
      </c>
      <c r="E66" s="4"/>
      <c r="F66" s="5">
        <v>381478.39</v>
      </c>
      <c r="I66" s="11">
        <f t="shared" si="0"/>
        <v>15</v>
      </c>
      <c r="J66" t="str">
        <f t="shared" si="1"/>
        <v>DR</v>
      </c>
    </row>
    <row r="67" spans="1:10" x14ac:dyDescent="0.25">
      <c r="A67" s="2" t="s">
        <v>150</v>
      </c>
      <c r="B67" s="3" t="s">
        <v>151</v>
      </c>
      <c r="C67" s="2" t="s">
        <v>152</v>
      </c>
      <c r="D67" s="4">
        <v>50</v>
      </c>
      <c r="E67" s="4"/>
      <c r="F67" s="5">
        <v>381428.39</v>
      </c>
      <c r="I67" s="11">
        <f t="shared" si="0"/>
        <v>50</v>
      </c>
      <c r="J67" t="str">
        <f t="shared" si="1"/>
        <v>DR</v>
      </c>
    </row>
    <row r="68" spans="1:10" x14ac:dyDescent="0.25">
      <c r="A68" s="2" t="s">
        <v>150</v>
      </c>
      <c r="B68" s="3" t="s">
        <v>153</v>
      </c>
      <c r="C68" s="2" t="s">
        <v>154</v>
      </c>
      <c r="D68" s="4">
        <v>60</v>
      </c>
      <c r="E68" s="4"/>
      <c r="F68" s="5">
        <v>381368.39</v>
      </c>
      <c r="I68" s="11">
        <f t="shared" ref="I68:I131" si="2">+D68+E68</f>
        <v>60</v>
      </c>
      <c r="J68" t="str">
        <f t="shared" ref="J68:J131" si="3">IF(E68=0,"DR","CR")</f>
        <v>DR</v>
      </c>
    </row>
    <row r="69" spans="1:10" x14ac:dyDescent="0.25">
      <c r="A69" s="2" t="s">
        <v>150</v>
      </c>
      <c r="B69" s="3" t="s">
        <v>155</v>
      </c>
      <c r="C69" s="2" t="s">
        <v>156</v>
      </c>
      <c r="D69" s="4">
        <v>140</v>
      </c>
      <c r="E69" s="4"/>
      <c r="F69" s="5">
        <v>381228.39</v>
      </c>
      <c r="I69" s="11">
        <f t="shared" si="2"/>
        <v>140</v>
      </c>
      <c r="J69" t="str">
        <f t="shared" si="3"/>
        <v>DR</v>
      </c>
    </row>
    <row r="70" spans="1:10" x14ac:dyDescent="0.25">
      <c r="A70" s="2" t="s">
        <v>150</v>
      </c>
      <c r="B70" s="3" t="s">
        <v>157</v>
      </c>
      <c r="C70" s="2" t="s">
        <v>158</v>
      </c>
      <c r="D70" s="4"/>
      <c r="E70" s="4">
        <v>110</v>
      </c>
      <c r="F70" s="5">
        <v>381338.39</v>
      </c>
      <c r="I70" s="11">
        <f t="shared" si="2"/>
        <v>110</v>
      </c>
      <c r="J70" t="str">
        <f t="shared" si="3"/>
        <v>CR</v>
      </c>
    </row>
    <row r="71" spans="1:10" x14ac:dyDescent="0.25">
      <c r="A71" s="2" t="s">
        <v>150</v>
      </c>
      <c r="B71" s="3" t="s">
        <v>159</v>
      </c>
      <c r="C71" s="2" t="s">
        <v>160</v>
      </c>
      <c r="D71" s="4">
        <v>220</v>
      </c>
      <c r="E71" s="4"/>
      <c r="F71" s="5">
        <v>381118.39</v>
      </c>
      <c r="I71" s="11">
        <f t="shared" si="2"/>
        <v>220</v>
      </c>
      <c r="J71" t="str">
        <f t="shared" si="3"/>
        <v>DR</v>
      </c>
    </row>
    <row r="72" spans="1:10" x14ac:dyDescent="0.25">
      <c r="A72" s="2" t="s">
        <v>161</v>
      </c>
      <c r="B72" s="3" t="s">
        <v>162</v>
      </c>
      <c r="C72" s="2" t="s">
        <v>163</v>
      </c>
      <c r="D72" s="4">
        <v>24</v>
      </c>
      <c r="E72" s="4"/>
      <c r="F72" s="5">
        <v>381094.39</v>
      </c>
      <c r="I72" s="11">
        <f t="shared" si="2"/>
        <v>24</v>
      </c>
      <c r="J72" t="str">
        <f t="shared" si="3"/>
        <v>DR</v>
      </c>
    </row>
    <row r="73" spans="1:10" x14ac:dyDescent="0.25">
      <c r="A73" s="2" t="s">
        <v>161</v>
      </c>
      <c r="B73" s="3" t="s">
        <v>164</v>
      </c>
      <c r="C73" s="2" t="s">
        <v>165</v>
      </c>
      <c r="D73" s="4">
        <v>50</v>
      </c>
      <c r="E73" s="4"/>
      <c r="F73" s="5">
        <v>381044.39</v>
      </c>
      <c r="I73" s="11">
        <f t="shared" si="2"/>
        <v>50</v>
      </c>
      <c r="J73" t="str">
        <f t="shared" si="3"/>
        <v>DR</v>
      </c>
    </row>
    <row r="74" spans="1:10" x14ac:dyDescent="0.25">
      <c r="A74" s="2" t="s">
        <v>161</v>
      </c>
      <c r="B74" s="3" t="s">
        <v>166</v>
      </c>
      <c r="C74" s="2" t="s">
        <v>167</v>
      </c>
      <c r="D74" s="4">
        <v>19</v>
      </c>
      <c r="E74" s="4"/>
      <c r="F74" s="5">
        <v>381025.39</v>
      </c>
      <c r="I74" s="11">
        <f t="shared" si="2"/>
        <v>19</v>
      </c>
      <c r="J74" t="str">
        <f t="shared" si="3"/>
        <v>DR</v>
      </c>
    </row>
    <row r="75" spans="1:10" x14ac:dyDescent="0.25">
      <c r="A75" s="2" t="s">
        <v>161</v>
      </c>
      <c r="B75" s="3" t="s">
        <v>168</v>
      </c>
      <c r="C75" s="2" t="s">
        <v>169</v>
      </c>
      <c r="D75" s="4">
        <v>347</v>
      </c>
      <c r="E75" s="4"/>
      <c r="F75" s="5">
        <v>380678.39</v>
      </c>
      <c r="I75" s="11">
        <f t="shared" si="2"/>
        <v>347</v>
      </c>
      <c r="J75" t="str">
        <f t="shared" si="3"/>
        <v>DR</v>
      </c>
    </row>
    <row r="76" spans="1:10" x14ac:dyDescent="0.25">
      <c r="A76" s="2" t="s">
        <v>161</v>
      </c>
      <c r="B76" s="3" t="s">
        <v>170</v>
      </c>
      <c r="C76" s="2" t="s">
        <v>171</v>
      </c>
      <c r="D76" s="4">
        <v>65</v>
      </c>
      <c r="E76" s="4"/>
      <c r="F76" s="5">
        <v>380613.39</v>
      </c>
      <c r="I76" s="11">
        <f t="shared" si="2"/>
        <v>65</v>
      </c>
      <c r="J76" t="str">
        <f t="shared" si="3"/>
        <v>DR</v>
      </c>
    </row>
    <row r="77" spans="1:10" x14ac:dyDescent="0.25">
      <c r="A77" s="2" t="s">
        <v>172</v>
      </c>
      <c r="B77" s="3" t="s">
        <v>173</v>
      </c>
      <c r="C77" s="2" t="s">
        <v>174</v>
      </c>
      <c r="D77" s="4">
        <v>10</v>
      </c>
      <c r="E77" s="4"/>
      <c r="F77" s="5">
        <v>380603.39</v>
      </c>
      <c r="I77" s="11">
        <f t="shared" si="2"/>
        <v>10</v>
      </c>
      <c r="J77" t="str">
        <f t="shared" si="3"/>
        <v>DR</v>
      </c>
    </row>
    <row r="78" spans="1:10" x14ac:dyDescent="0.25">
      <c r="A78" s="2" t="s">
        <v>172</v>
      </c>
      <c r="B78" s="3" t="s">
        <v>175</v>
      </c>
      <c r="C78" s="2" t="s">
        <v>176</v>
      </c>
      <c r="D78" s="4">
        <v>60</v>
      </c>
      <c r="E78" s="4"/>
      <c r="F78" s="5">
        <v>380543.39</v>
      </c>
      <c r="I78" s="11">
        <f t="shared" si="2"/>
        <v>60</v>
      </c>
      <c r="J78" t="str">
        <f t="shared" si="3"/>
        <v>DR</v>
      </c>
    </row>
    <row r="79" spans="1:10" x14ac:dyDescent="0.25">
      <c r="A79" s="2" t="s">
        <v>177</v>
      </c>
      <c r="B79" s="3" t="s">
        <v>178</v>
      </c>
      <c r="C79" s="2" t="s">
        <v>179</v>
      </c>
      <c r="D79" s="4">
        <v>15</v>
      </c>
      <c r="E79" s="4"/>
      <c r="F79" s="5">
        <v>380528.39</v>
      </c>
      <c r="I79" s="11">
        <f t="shared" si="2"/>
        <v>15</v>
      </c>
      <c r="J79" t="str">
        <f t="shared" si="3"/>
        <v>DR</v>
      </c>
    </row>
    <row r="80" spans="1:10" x14ac:dyDescent="0.25">
      <c r="A80" s="2" t="s">
        <v>177</v>
      </c>
      <c r="B80" s="3" t="s">
        <v>180</v>
      </c>
      <c r="C80" s="2" t="s">
        <v>181</v>
      </c>
      <c r="D80" s="4">
        <v>50</v>
      </c>
      <c r="E80" s="4"/>
      <c r="F80" s="5">
        <v>380478.39</v>
      </c>
      <c r="I80" s="11">
        <f t="shared" si="2"/>
        <v>50</v>
      </c>
      <c r="J80" t="str">
        <f t="shared" si="3"/>
        <v>DR</v>
      </c>
    </row>
    <row r="81" spans="1:10" x14ac:dyDescent="0.25">
      <c r="A81" s="2" t="s">
        <v>182</v>
      </c>
      <c r="B81" s="3" t="s">
        <v>183</v>
      </c>
      <c r="C81" s="2" t="s">
        <v>184</v>
      </c>
      <c r="D81" s="4">
        <v>15</v>
      </c>
      <c r="E81" s="4"/>
      <c r="F81" s="5">
        <v>380463.39</v>
      </c>
      <c r="I81" s="11">
        <f t="shared" si="2"/>
        <v>15</v>
      </c>
      <c r="J81" t="str">
        <f t="shared" si="3"/>
        <v>DR</v>
      </c>
    </row>
    <row r="82" spans="1:10" x14ac:dyDescent="0.25">
      <c r="A82" s="2" t="s">
        <v>182</v>
      </c>
      <c r="B82" s="3" t="s">
        <v>185</v>
      </c>
      <c r="C82" s="2" t="s">
        <v>186</v>
      </c>
      <c r="D82" s="4">
        <v>911.64</v>
      </c>
      <c r="E82" s="4"/>
      <c r="F82" s="5">
        <v>379551.75</v>
      </c>
      <c r="I82" s="11">
        <f t="shared" si="2"/>
        <v>911.64</v>
      </c>
      <c r="J82" t="str">
        <f t="shared" si="3"/>
        <v>DR</v>
      </c>
    </row>
    <row r="83" spans="1:10" x14ac:dyDescent="0.25">
      <c r="A83" s="2" t="s">
        <v>182</v>
      </c>
      <c r="B83" s="3" t="s">
        <v>187</v>
      </c>
      <c r="C83" s="2" t="s">
        <v>188</v>
      </c>
      <c r="D83" s="4">
        <v>1070</v>
      </c>
      <c r="E83" s="4"/>
      <c r="F83" s="5">
        <v>378481.75</v>
      </c>
      <c r="I83" s="11">
        <f t="shared" si="2"/>
        <v>1070</v>
      </c>
      <c r="J83" t="str">
        <f t="shared" si="3"/>
        <v>DR</v>
      </c>
    </row>
    <row r="84" spans="1:10" x14ac:dyDescent="0.25">
      <c r="A84" s="2" t="s">
        <v>182</v>
      </c>
      <c r="B84" s="3" t="s">
        <v>189</v>
      </c>
      <c r="C84" s="2" t="s">
        <v>190</v>
      </c>
      <c r="D84" s="4">
        <v>70</v>
      </c>
      <c r="E84" s="4"/>
      <c r="F84" s="5">
        <v>378411.75</v>
      </c>
      <c r="I84" s="11">
        <f t="shared" si="2"/>
        <v>70</v>
      </c>
      <c r="J84" t="str">
        <f t="shared" si="3"/>
        <v>DR</v>
      </c>
    </row>
    <row r="85" spans="1:10" x14ac:dyDescent="0.25">
      <c r="A85" s="2" t="s">
        <v>191</v>
      </c>
      <c r="B85" s="3" t="s">
        <v>192</v>
      </c>
      <c r="C85" s="2" t="s">
        <v>193</v>
      </c>
      <c r="D85" s="4">
        <v>15</v>
      </c>
      <c r="E85" s="4"/>
      <c r="F85" s="5">
        <v>378396.75</v>
      </c>
      <c r="I85" s="11">
        <f t="shared" si="2"/>
        <v>15</v>
      </c>
      <c r="J85" t="str">
        <f t="shared" si="3"/>
        <v>DR</v>
      </c>
    </row>
    <row r="86" spans="1:10" x14ac:dyDescent="0.25">
      <c r="A86" s="2" t="s">
        <v>191</v>
      </c>
      <c r="B86" s="3" t="s">
        <v>194</v>
      </c>
      <c r="C86" s="2" t="s">
        <v>195</v>
      </c>
      <c r="D86" s="4">
        <v>50</v>
      </c>
      <c r="E86" s="4"/>
      <c r="F86" s="5">
        <v>378346.75</v>
      </c>
      <c r="I86" s="11">
        <f t="shared" si="2"/>
        <v>50</v>
      </c>
      <c r="J86" t="str">
        <f t="shared" si="3"/>
        <v>DR</v>
      </c>
    </row>
    <row r="87" spans="1:10" x14ac:dyDescent="0.25">
      <c r="A87" s="2" t="s">
        <v>196</v>
      </c>
      <c r="B87" s="3" t="s">
        <v>197</v>
      </c>
      <c r="C87" s="2" t="s">
        <v>198</v>
      </c>
      <c r="D87" s="4">
        <v>15</v>
      </c>
      <c r="E87" s="4"/>
      <c r="F87" s="5">
        <v>378331.75</v>
      </c>
      <c r="I87" s="11">
        <f t="shared" si="2"/>
        <v>15</v>
      </c>
      <c r="J87" t="str">
        <f t="shared" si="3"/>
        <v>DR</v>
      </c>
    </row>
    <row r="88" spans="1:10" x14ac:dyDescent="0.25">
      <c r="A88" s="2" t="s">
        <v>199</v>
      </c>
      <c r="B88" s="3" t="s">
        <v>200</v>
      </c>
      <c r="C88" s="2" t="s">
        <v>201</v>
      </c>
      <c r="D88" s="4">
        <v>80</v>
      </c>
      <c r="E88" s="4"/>
      <c r="F88" s="5">
        <v>378251.75</v>
      </c>
      <c r="I88" s="11">
        <f t="shared" si="2"/>
        <v>80</v>
      </c>
      <c r="J88" t="str">
        <f t="shared" si="3"/>
        <v>DR</v>
      </c>
    </row>
    <row r="89" spans="1:10" x14ac:dyDescent="0.25">
      <c r="A89" s="2" t="s">
        <v>199</v>
      </c>
      <c r="B89" s="3" t="s">
        <v>202</v>
      </c>
      <c r="C89" s="2" t="s">
        <v>203</v>
      </c>
      <c r="D89" s="4">
        <v>70</v>
      </c>
      <c r="E89" s="4"/>
      <c r="F89" s="5">
        <v>378181.75</v>
      </c>
      <c r="I89" s="11">
        <f t="shared" si="2"/>
        <v>70</v>
      </c>
      <c r="J89" t="str">
        <f t="shared" si="3"/>
        <v>DR</v>
      </c>
    </row>
    <row r="90" spans="1:10" x14ac:dyDescent="0.25">
      <c r="A90" s="2" t="s">
        <v>199</v>
      </c>
      <c r="B90" s="3" t="s">
        <v>204</v>
      </c>
      <c r="C90" s="2" t="s">
        <v>205</v>
      </c>
      <c r="D90" s="4">
        <v>50000</v>
      </c>
      <c r="E90" s="4"/>
      <c r="F90" s="5">
        <v>328181.75</v>
      </c>
      <c r="I90" s="11">
        <f t="shared" si="2"/>
        <v>50000</v>
      </c>
      <c r="J90" t="str">
        <f t="shared" si="3"/>
        <v>DR</v>
      </c>
    </row>
    <row r="91" spans="1:10" x14ac:dyDescent="0.25">
      <c r="A91" s="2" t="s">
        <v>206</v>
      </c>
      <c r="B91" s="3" t="s">
        <v>207</v>
      </c>
      <c r="C91" s="2" t="s">
        <v>208</v>
      </c>
      <c r="D91" s="4">
        <v>35</v>
      </c>
      <c r="E91" s="4"/>
      <c r="F91" s="5">
        <v>328146.75</v>
      </c>
      <c r="I91" s="11">
        <f t="shared" si="2"/>
        <v>35</v>
      </c>
      <c r="J91" t="str">
        <f t="shared" si="3"/>
        <v>DR</v>
      </c>
    </row>
    <row r="92" spans="1:10" x14ac:dyDescent="0.25">
      <c r="A92" s="2" t="s">
        <v>206</v>
      </c>
      <c r="B92" s="3" t="s">
        <v>209</v>
      </c>
      <c r="C92" s="2" t="s">
        <v>210</v>
      </c>
      <c r="D92" s="4">
        <v>1</v>
      </c>
      <c r="E92" s="4"/>
      <c r="F92" s="5">
        <v>328145.75</v>
      </c>
      <c r="I92" s="11">
        <f t="shared" si="2"/>
        <v>1</v>
      </c>
      <c r="J92" t="str">
        <f t="shared" si="3"/>
        <v>DR</v>
      </c>
    </row>
    <row r="93" spans="1:10" x14ac:dyDescent="0.25">
      <c r="A93" s="2" t="s">
        <v>211</v>
      </c>
      <c r="B93" s="3" t="s">
        <v>212</v>
      </c>
      <c r="C93" s="2" t="s">
        <v>213</v>
      </c>
      <c r="D93" s="4">
        <v>15</v>
      </c>
      <c r="E93" s="4"/>
      <c r="F93" s="5">
        <v>328130.75</v>
      </c>
      <c r="I93" s="11">
        <f t="shared" si="2"/>
        <v>15</v>
      </c>
      <c r="J93" t="str">
        <f t="shared" si="3"/>
        <v>DR</v>
      </c>
    </row>
    <row r="94" spans="1:10" x14ac:dyDescent="0.25">
      <c r="A94" s="2" t="s">
        <v>211</v>
      </c>
      <c r="B94" s="3" t="s">
        <v>214</v>
      </c>
      <c r="C94" s="2" t="s">
        <v>215</v>
      </c>
      <c r="D94" s="4">
        <v>70</v>
      </c>
      <c r="E94" s="4"/>
      <c r="F94" s="5">
        <v>328060.75</v>
      </c>
      <c r="I94" s="11">
        <f t="shared" si="2"/>
        <v>70</v>
      </c>
      <c r="J94" t="str">
        <f t="shared" si="3"/>
        <v>DR</v>
      </c>
    </row>
    <row r="95" spans="1:10" x14ac:dyDescent="0.25">
      <c r="A95" s="2" t="s">
        <v>211</v>
      </c>
      <c r="B95" s="3" t="s">
        <v>216</v>
      </c>
      <c r="C95" s="2" t="s">
        <v>217</v>
      </c>
      <c r="D95" s="4">
        <v>95</v>
      </c>
      <c r="E95" s="4"/>
      <c r="F95" s="5">
        <v>327965.75</v>
      </c>
      <c r="I95" s="11">
        <f t="shared" si="2"/>
        <v>95</v>
      </c>
      <c r="J95" t="str">
        <f t="shared" si="3"/>
        <v>DR</v>
      </c>
    </row>
    <row r="96" spans="1:10" x14ac:dyDescent="0.25">
      <c r="A96" s="2" t="s">
        <v>218</v>
      </c>
      <c r="B96" s="3" t="s">
        <v>219</v>
      </c>
      <c r="C96" s="2" t="s">
        <v>220</v>
      </c>
      <c r="D96" s="4">
        <v>50</v>
      </c>
      <c r="E96" s="4"/>
      <c r="F96" s="5">
        <v>327915.75</v>
      </c>
      <c r="I96" s="11">
        <f t="shared" si="2"/>
        <v>50</v>
      </c>
      <c r="J96" t="str">
        <f t="shared" si="3"/>
        <v>DR</v>
      </c>
    </row>
    <row r="97" spans="1:10" x14ac:dyDescent="0.25">
      <c r="A97" s="2" t="s">
        <v>218</v>
      </c>
      <c r="B97" s="3" t="s">
        <v>221</v>
      </c>
      <c r="C97" s="2" t="s">
        <v>222</v>
      </c>
      <c r="D97" s="4">
        <v>20</v>
      </c>
      <c r="E97" s="4"/>
      <c r="F97" s="5">
        <v>327895.75</v>
      </c>
      <c r="I97" s="11">
        <f t="shared" si="2"/>
        <v>20</v>
      </c>
      <c r="J97" t="str">
        <f t="shared" si="3"/>
        <v>DR</v>
      </c>
    </row>
    <row r="98" spans="1:10" x14ac:dyDescent="0.25">
      <c r="A98" s="2" t="s">
        <v>218</v>
      </c>
      <c r="B98" s="3" t="s">
        <v>223</v>
      </c>
      <c r="C98" s="2" t="s">
        <v>224</v>
      </c>
      <c r="D98" s="4">
        <v>20</v>
      </c>
      <c r="E98" s="4"/>
      <c r="F98" s="5">
        <v>327875.75</v>
      </c>
      <c r="I98" s="11">
        <f t="shared" si="2"/>
        <v>20</v>
      </c>
      <c r="J98" t="str">
        <f t="shared" si="3"/>
        <v>DR</v>
      </c>
    </row>
    <row r="99" spans="1:10" x14ac:dyDescent="0.25">
      <c r="A99" s="2" t="s">
        <v>225</v>
      </c>
      <c r="B99" s="3" t="s">
        <v>226</v>
      </c>
      <c r="C99" s="2"/>
      <c r="D99" s="4"/>
      <c r="E99" s="4">
        <v>20000</v>
      </c>
      <c r="F99" s="5">
        <v>347875.75</v>
      </c>
      <c r="I99" s="11">
        <f t="shared" si="2"/>
        <v>20000</v>
      </c>
      <c r="J99" t="str">
        <f t="shared" si="3"/>
        <v>CR</v>
      </c>
    </row>
    <row r="100" spans="1:10" x14ac:dyDescent="0.25">
      <c r="A100" s="2" t="s">
        <v>225</v>
      </c>
      <c r="B100" s="3" t="s">
        <v>227</v>
      </c>
      <c r="C100" s="2" t="s">
        <v>228</v>
      </c>
      <c r="D100" s="4">
        <v>14</v>
      </c>
      <c r="E100" s="4"/>
      <c r="F100" s="5">
        <v>347861.75</v>
      </c>
      <c r="I100" s="11">
        <f t="shared" si="2"/>
        <v>14</v>
      </c>
      <c r="J100" t="str">
        <f t="shared" si="3"/>
        <v>DR</v>
      </c>
    </row>
    <row r="101" spans="1:10" x14ac:dyDescent="0.25">
      <c r="A101" s="2" t="s">
        <v>225</v>
      </c>
      <c r="B101" s="3" t="s">
        <v>229</v>
      </c>
      <c r="C101" s="2" t="s">
        <v>230</v>
      </c>
      <c r="D101" s="4">
        <v>375</v>
      </c>
      <c r="E101" s="4"/>
      <c r="F101" s="5">
        <v>347486.75</v>
      </c>
      <c r="I101" s="11">
        <f t="shared" si="2"/>
        <v>375</v>
      </c>
      <c r="J101" t="str">
        <f t="shared" si="3"/>
        <v>DR</v>
      </c>
    </row>
    <row r="102" spans="1:10" x14ac:dyDescent="0.25">
      <c r="A102" s="2" t="s">
        <v>231</v>
      </c>
      <c r="B102" s="3" t="s">
        <v>232</v>
      </c>
      <c r="C102" s="2" t="s">
        <v>233</v>
      </c>
      <c r="D102" s="4">
        <v>224</v>
      </c>
      <c r="E102" s="4"/>
      <c r="F102" s="5">
        <v>347262.75</v>
      </c>
      <c r="I102" s="11">
        <f t="shared" si="2"/>
        <v>224</v>
      </c>
      <c r="J102" t="str">
        <f t="shared" si="3"/>
        <v>DR</v>
      </c>
    </row>
    <row r="103" spans="1:10" x14ac:dyDescent="0.25">
      <c r="A103" s="2" t="s">
        <v>231</v>
      </c>
      <c r="B103" s="3" t="s">
        <v>234</v>
      </c>
      <c r="C103" s="2" t="s">
        <v>235</v>
      </c>
      <c r="D103" s="4"/>
      <c r="E103" s="4">
        <v>1066</v>
      </c>
      <c r="F103" s="5">
        <v>348328.75</v>
      </c>
      <c r="I103" s="11">
        <f t="shared" si="2"/>
        <v>1066</v>
      </c>
      <c r="J103" t="str">
        <f t="shared" si="3"/>
        <v>CR</v>
      </c>
    </row>
    <row r="104" spans="1:10" x14ac:dyDescent="0.25">
      <c r="A104" s="2" t="s">
        <v>236</v>
      </c>
      <c r="B104" s="3" t="s">
        <v>237</v>
      </c>
      <c r="C104" s="2" t="s">
        <v>238</v>
      </c>
      <c r="D104" s="4">
        <v>126.35</v>
      </c>
      <c r="E104" s="4"/>
      <c r="F104" s="5">
        <v>348202.4</v>
      </c>
      <c r="I104" s="11">
        <f t="shared" si="2"/>
        <v>126.35</v>
      </c>
      <c r="J104" t="str">
        <f t="shared" si="3"/>
        <v>DR</v>
      </c>
    </row>
    <row r="105" spans="1:10" x14ac:dyDescent="0.25">
      <c r="A105" s="2" t="s">
        <v>239</v>
      </c>
      <c r="B105" s="3" t="s">
        <v>240</v>
      </c>
      <c r="C105" s="2" t="s">
        <v>241</v>
      </c>
      <c r="D105" s="4">
        <v>448</v>
      </c>
      <c r="E105" s="4"/>
      <c r="F105" s="5">
        <v>347754.4</v>
      </c>
      <c r="I105" s="11">
        <f t="shared" si="2"/>
        <v>448</v>
      </c>
      <c r="J105" t="str">
        <f t="shared" si="3"/>
        <v>DR</v>
      </c>
    </row>
    <row r="106" spans="1:10" x14ac:dyDescent="0.25">
      <c r="A106" s="2" t="s">
        <v>239</v>
      </c>
      <c r="B106" s="3" t="s">
        <v>242</v>
      </c>
      <c r="C106" s="2" t="s">
        <v>243</v>
      </c>
      <c r="D106" s="4">
        <v>60</v>
      </c>
      <c r="E106" s="4"/>
      <c r="F106" s="5">
        <v>347694.4</v>
      </c>
      <c r="I106" s="11">
        <f t="shared" si="2"/>
        <v>60</v>
      </c>
      <c r="J106" t="str">
        <f t="shared" si="3"/>
        <v>DR</v>
      </c>
    </row>
    <row r="107" spans="1:10" x14ac:dyDescent="0.25">
      <c r="A107" s="2" t="s">
        <v>244</v>
      </c>
      <c r="B107" s="3" t="s">
        <v>245</v>
      </c>
      <c r="C107" s="2" t="s">
        <v>246</v>
      </c>
      <c r="D107" s="4">
        <v>2</v>
      </c>
      <c r="E107" s="4"/>
      <c r="F107" s="5">
        <v>347692.4</v>
      </c>
      <c r="I107" s="11">
        <f t="shared" si="2"/>
        <v>2</v>
      </c>
      <c r="J107" t="str">
        <f t="shared" si="3"/>
        <v>DR</v>
      </c>
    </row>
    <row r="108" spans="1:10" x14ac:dyDescent="0.25">
      <c r="A108" s="2" t="s">
        <v>244</v>
      </c>
      <c r="B108" s="3" t="s">
        <v>247</v>
      </c>
      <c r="C108" s="2" t="s">
        <v>248</v>
      </c>
      <c r="D108" s="4">
        <v>20000</v>
      </c>
      <c r="E108" s="4"/>
      <c r="F108" s="5">
        <v>327692.40000000002</v>
      </c>
      <c r="I108" s="11">
        <f t="shared" si="2"/>
        <v>20000</v>
      </c>
      <c r="J108" t="str">
        <f t="shared" si="3"/>
        <v>DR</v>
      </c>
    </row>
    <row r="109" spans="1:10" x14ac:dyDescent="0.25">
      <c r="A109" s="2" t="s">
        <v>249</v>
      </c>
      <c r="B109" s="3" t="s">
        <v>250</v>
      </c>
      <c r="C109" s="2" t="s">
        <v>251</v>
      </c>
      <c r="D109" s="4">
        <v>249</v>
      </c>
      <c r="E109" s="4"/>
      <c r="F109" s="5">
        <v>327443.40000000002</v>
      </c>
      <c r="I109" s="11">
        <f t="shared" si="2"/>
        <v>249</v>
      </c>
      <c r="J109" t="str">
        <f t="shared" si="3"/>
        <v>DR</v>
      </c>
    </row>
    <row r="110" spans="1:10" x14ac:dyDescent="0.25">
      <c r="A110" s="2" t="s">
        <v>252</v>
      </c>
      <c r="B110" s="3" t="s">
        <v>253</v>
      </c>
      <c r="C110" s="2" t="s">
        <v>254</v>
      </c>
      <c r="D110" s="4">
        <v>470.82</v>
      </c>
      <c r="E110" s="4"/>
      <c r="F110" s="5">
        <v>326972.58</v>
      </c>
      <c r="I110" s="11">
        <f t="shared" si="2"/>
        <v>470.82</v>
      </c>
      <c r="J110" t="str">
        <f t="shared" si="3"/>
        <v>DR</v>
      </c>
    </row>
    <row r="111" spans="1:10" x14ac:dyDescent="0.25">
      <c r="A111" s="2" t="s">
        <v>252</v>
      </c>
      <c r="B111" s="3" t="s">
        <v>255</v>
      </c>
      <c r="C111" s="2" t="s">
        <v>256</v>
      </c>
      <c r="D111" s="4">
        <v>15</v>
      </c>
      <c r="E111" s="4"/>
      <c r="F111" s="5">
        <v>326957.58</v>
      </c>
      <c r="I111" s="11">
        <f t="shared" si="2"/>
        <v>15</v>
      </c>
      <c r="J111" t="str">
        <f t="shared" si="3"/>
        <v>DR</v>
      </c>
    </row>
    <row r="112" spans="1:10" x14ac:dyDescent="0.25">
      <c r="A112" s="2" t="s">
        <v>257</v>
      </c>
      <c r="B112" s="3" t="s">
        <v>258</v>
      </c>
      <c r="C112" s="2" t="s">
        <v>259</v>
      </c>
      <c r="D112" s="4">
        <v>30</v>
      </c>
      <c r="E112" s="4"/>
      <c r="F112" s="5">
        <v>326927.58</v>
      </c>
      <c r="I112" s="11">
        <f t="shared" si="2"/>
        <v>30</v>
      </c>
      <c r="J112" t="str">
        <f t="shared" si="3"/>
        <v>DR</v>
      </c>
    </row>
    <row r="113" spans="1:10" x14ac:dyDescent="0.25">
      <c r="A113" s="2" t="s">
        <v>260</v>
      </c>
      <c r="B113" s="3" t="s">
        <v>261</v>
      </c>
      <c r="C113" s="2" t="s">
        <v>262</v>
      </c>
      <c r="D113" s="4">
        <v>1</v>
      </c>
      <c r="E113" s="4"/>
      <c r="F113" s="5">
        <v>326926.58</v>
      </c>
      <c r="I113" s="11">
        <f t="shared" si="2"/>
        <v>1</v>
      </c>
      <c r="J113" t="str">
        <f t="shared" si="3"/>
        <v>DR</v>
      </c>
    </row>
    <row r="114" spans="1:10" x14ac:dyDescent="0.25">
      <c r="A114" s="2" t="s">
        <v>260</v>
      </c>
      <c r="B114" s="3" t="s">
        <v>263</v>
      </c>
      <c r="C114" s="2" t="s">
        <v>264</v>
      </c>
      <c r="D114" s="4">
        <v>12000</v>
      </c>
      <c r="E114" s="4"/>
      <c r="F114" s="5">
        <v>314926.58</v>
      </c>
      <c r="I114" s="11">
        <f t="shared" si="2"/>
        <v>12000</v>
      </c>
      <c r="J114" t="str">
        <f t="shared" si="3"/>
        <v>DR</v>
      </c>
    </row>
    <row r="115" spans="1:10" x14ac:dyDescent="0.25">
      <c r="A115" s="2" t="s">
        <v>265</v>
      </c>
      <c r="B115" s="3" t="s">
        <v>266</v>
      </c>
      <c r="C115" s="2" t="s">
        <v>267</v>
      </c>
      <c r="D115" s="4">
        <v>60</v>
      </c>
      <c r="E115" s="4"/>
      <c r="F115" s="5">
        <v>314866.58</v>
      </c>
      <c r="I115" s="11">
        <f t="shared" si="2"/>
        <v>60</v>
      </c>
      <c r="J115" t="str">
        <f t="shared" si="3"/>
        <v>DR</v>
      </c>
    </row>
    <row r="116" spans="1:10" x14ac:dyDescent="0.25">
      <c r="A116" s="2" t="s">
        <v>268</v>
      </c>
      <c r="B116" s="3" t="s">
        <v>269</v>
      </c>
      <c r="C116" s="2" t="s">
        <v>270</v>
      </c>
      <c r="D116" s="4">
        <v>1595</v>
      </c>
      <c r="E116" s="4"/>
      <c r="F116" s="5">
        <v>313271.58</v>
      </c>
      <c r="I116" s="11">
        <f t="shared" si="2"/>
        <v>1595</v>
      </c>
      <c r="J116" t="str">
        <f t="shared" si="3"/>
        <v>DR</v>
      </c>
    </row>
    <row r="117" spans="1:10" x14ac:dyDescent="0.25">
      <c r="A117" s="2" t="s">
        <v>271</v>
      </c>
      <c r="B117" s="3" t="s">
        <v>272</v>
      </c>
      <c r="C117" s="2" t="s">
        <v>273</v>
      </c>
      <c r="D117" s="4">
        <v>100000</v>
      </c>
      <c r="E117" s="4"/>
      <c r="F117" s="5">
        <v>213271.58</v>
      </c>
      <c r="I117" s="11">
        <f t="shared" si="2"/>
        <v>100000</v>
      </c>
      <c r="J117" t="str">
        <f t="shared" si="3"/>
        <v>DR</v>
      </c>
    </row>
    <row r="118" spans="1:10" x14ac:dyDescent="0.25">
      <c r="A118" s="2" t="s">
        <v>274</v>
      </c>
      <c r="B118" s="3" t="s">
        <v>275</v>
      </c>
      <c r="C118" s="2" t="s">
        <v>276</v>
      </c>
      <c r="D118" s="4">
        <v>15</v>
      </c>
      <c r="E118" s="4"/>
      <c r="F118" s="5">
        <v>213256.58</v>
      </c>
      <c r="I118" s="11">
        <f t="shared" si="2"/>
        <v>15</v>
      </c>
      <c r="J118" t="str">
        <f t="shared" si="3"/>
        <v>DR</v>
      </c>
    </row>
    <row r="119" spans="1:10" x14ac:dyDescent="0.25">
      <c r="A119" s="2" t="s">
        <v>274</v>
      </c>
      <c r="B119" s="3" t="s">
        <v>277</v>
      </c>
      <c r="C119" s="2" t="s">
        <v>278</v>
      </c>
      <c r="D119" s="4">
        <v>25</v>
      </c>
      <c r="E119" s="4"/>
      <c r="F119" s="5">
        <v>213231.58</v>
      </c>
      <c r="I119" s="11">
        <f t="shared" si="2"/>
        <v>25</v>
      </c>
      <c r="J119" t="str">
        <f t="shared" si="3"/>
        <v>DR</v>
      </c>
    </row>
    <row r="120" spans="1:10" x14ac:dyDescent="0.25">
      <c r="A120" s="2" t="s">
        <v>274</v>
      </c>
      <c r="B120" s="3" t="s">
        <v>279</v>
      </c>
      <c r="C120" s="2" t="s">
        <v>280</v>
      </c>
      <c r="D120" s="4">
        <v>60</v>
      </c>
      <c r="E120" s="4"/>
      <c r="F120" s="5">
        <v>213171.58</v>
      </c>
      <c r="I120" s="11">
        <f t="shared" si="2"/>
        <v>60</v>
      </c>
      <c r="J120" t="str">
        <f t="shared" si="3"/>
        <v>DR</v>
      </c>
    </row>
    <row r="121" spans="1:10" x14ac:dyDescent="0.25">
      <c r="A121" s="2" t="s">
        <v>274</v>
      </c>
      <c r="B121" s="3" t="s">
        <v>281</v>
      </c>
      <c r="C121" s="2" t="s">
        <v>282</v>
      </c>
      <c r="D121" s="4">
        <v>60</v>
      </c>
      <c r="E121" s="4"/>
      <c r="F121" s="5">
        <v>213111.58</v>
      </c>
      <c r="I121" s="11">
        <f t="shared" si="2"/>
        <v>60</v>
      </c>
      <c r="J121" t="str">
        <f t="shared" si="3"/>
        <v>DR</v>
      </c>
    </row>
    <row r="122" spans="1:10" x14ac:dyDescent="0.25">
      <c r="A122" s="2" t="s">
        <v>274</v>
      </c>
      <c r="B122" s="3" t="s">
        <v>283</v>
      </c>
      <c r="C122" s="2" t="s">
        <v>284</v>
      </c>
      <c r="D122" s="4">
        <v>35</v>
      </c>
      <c r="E122" s="4"/>
      <c r="F122" s="5">
        <v>213076.58</v>
      </c>
      <c r="I122" s="11">
        <f t="shared" si="2"/>
        <v>35</v>
      </c>
      <c r="J122" t="str">
        <f t="shared" si="3"/>
        <v>DR</v>
      </c>
    </row>
    <row r="123" spans="1:10" x14ac:dyDescent="0.25">
      <c r="A123" s="2" t="s">
        <v>274</v>
      </c>
      <c r="B123" s="3" t="s">
        <v>285</v>
      </c>
      <c r="C123" s="2" t="s">
        <v>286</v>
      </c>
      <c r="D123" s="4">
        <v>30</v>
      </c>
      <c r="E123" s="4"/>
      <c r="F123" s="5">
        <v>213046.58</v>
      </c>
      <c r="I123" s="11">
        <f t="shared" si="2"/>
        <v>30</v>
      </c>
      <c r="J123" t="str">
        <f t="shared" si="3"/>
        <v>DR</v>
      </c>
    </row>
    <row r="124" spans="1:10" x14ac:dyDescent="0.25">
      <c r="A124" s="2" t="s">
        <v>287</v>
      </c>
      <c r="B124" s="3" t="s">
        <v>288</v>
      </c>
      <c r="C124" s="2" t="s">
        <v>289</v>
      </c>
      <c r="D124" s="4">
        <v>15</v>
      </c>
      <c r="E124" s="4"/>
      <c r="F124" s="5">
        <v>213031.58</v>
      </c>
      <c r="I124" s="11">
        <f t="shared" si="2"/>
        <v>15</v>
      </c>
      <c r="J124" t="str">
        <f t="shared" si="3"/>
        <v>DR</v>
      </c>
    </row>
    <row r="125" spans="1:10" x14ac:dyDescent="0.25">
      <c r="A125" s="2" t="s">
        <v>287</v>
      </c>
      <c r="B125" s="3" t="s">
        <v>290</v>
      </c>
      <c r="C125" s="2" t="s">
        <v>291</v>
      </c>
      <c r="D125" s="4">
        <v>60</v>
      </c>
      <c r="E125" s="4"/>
      <c r="F125" s="5">
        <v>212971.58</v>
      </c>
      <c r="I125" s="11">
        <f t="shared" si="2"/>
        <v>60</v>
      </c>
      <c r="J125" t="str">
        <f t="shared" si="3"/>
        <v>DR</v>
      </c>
    </row>
    <row r="126" spans="1:10" x14ac:dyDescent="0.25">
      <c r="A126" s="2" t="s">
        <v>287</v>
      </c>
      <c r="B126" s="3" t="s">
        <v>292</v>
      </c>
      <c r="C126" s="2" t="s">
        <v>293</v>
      </c>
      <c r="D126" s="4">
        <v>50</v>
      </c>
      <c r="E126" s="4"/>
      <c r="F126" s="5">
        <v>212921.58</v>
      </c>
      <c r="I126" s="11">
        <f t="shared" si="2"/>
        <v>50</v>
      </c>
      <c r="J126" t="str">
        <f t="shared" si="3"/>
        <v>DR</v>
      </c>
    </row>
    <row r="127" spans="1:10" x14ac:dyDescent="0.25">
      <c r="A127" s="2" t="s">
        <v>287</v>
      </c>
      <c r="B127" s="3" t="s">
        <v>294</v>
      </c>
      <c r="C127" s="2" t="s">
        <v>295</v>
      </c>
      <c r="D127" s="4">
        <v>15</v>
      </c>
      <c r="E127" s="4"/>
      <c r="F127" s="5">
        <v>212906.58</v>
      </c>
      <c r="I127" s="11">
        <f t="shared" si="2"/>
        <v>15</v>
      </c>
      <c r="J127" t="str">
        <f t="shared" si="3"/>
        <v>DR</v>
      </c>
    </row>
    <row r="128" spans="1:10" x14ac:dyDescent="0.25">
      <c r="A128" s="2" t="s">
        <v>296</v>
      </c>
      <c r="B128" s="3" t="s">
        <v>297</v>
      </c>
      <c r="C128" s="2" t="s">
        <v>298</v>
      </c>
      <c r="D128" s="4">
        <v>25</v>
      </c>
      <c r="E128" s="4"/>
      <c r="F128" s="5">
        <v>212881.58</v>
      </c>
      <c r="I128" s="11">
        <f t="shared" si="2"/>
        <v>25</v>
      </c>
      <c r="J128" t="str">
        <f t="shared" si="3"/>
        <v>DR</v>
      </c>
    </row>
    <row r="129" spans="1:10" x14ac:dyDescent="0.25">
      <c r="A129" s="2" t="s">
        <v>296</v>
      </c>
      <c r="B129" s="3" t="s">
        <v>299</v>
      </c>
      <c r="C129" s="2" t="s">
        <v>300</v>
      </c>
      <c r="D129" s="4">
        <v>30</v>
      </c>
      <c r="E129" s="4"/>
      <c r="F129" s="5">
        <v>212851.58</v>
      </c>
      <c r="I129" s="11">
        <f t="shared" si="2"/>
        <v>30</v>
      </c>
      <c r="J129" t="str">
        <f t="shared" si="3"/>
        <v>DR</v>
      </c>
    </row>
    <row r="130" spans="1:10" x14ac:dyDescent="0.25">
      <c r="A130" s="2" t="s">
        <v>296</v>
      </c>
      <c r="B130" s="3" t="s">
        <v>301</v>
      </c>
      <c r="C130" s="2" t="s">
        <v>302</v>
      </c>
      <c r="D130" s="4">
        <v>4000</v>
      </c>
      <c r="E130" s="4"/>
      <c r="F130" s="5">
        <v>208851.58</v>
      </c>
      <c r="I130" s="11">
        <f t="shared" si="2"/>
        <v>4000</v>
      </c>
      <c r="J130" t="str">
        <f t="shared" si="3"/>
        <v>DR</v>
      </c>
    </row>
    <row r="131" spans="1:10" x14ac:dyDescent="0.25">
      <c r="A131" s="2" t="s">
        <v>296</v>
      </c>
      <c r="B131" s="3" t="s">
        <v>303</v>
      </c>
      <c r="C131" s="2" t="s">
        <v>304</v>
      </c>
      <c r="D131" s="4">
        <v>4000</v>
      </c>
      <c r="E131" s="4"/>
      <c r="F131" s="5">
        <v>204851.58</v>
      </c>
      <c r="I131" s="11">
        <f t="shared" si="2"/>
        <v>4000</v>
      </c>
      <c r="J131" t="str">
        <f t="shared" si="3"/>
        <v>DR</v>
      </c>
    </row>
    <row r="132" spans="1:10" x14ac:dyDescent="0.25">
      <c r="A132" s="2" t="s">
        <v>296</v>
      </c>
      <c r="B132" s="3" t="s">
        <v>305</v>
      </c>
      <c r="C132" s="2" t="s">
        <v>306</v>
      </c>
      <c r="D132" s="4">
        <v>100</v>
      </c>
      <c r="E132" s="4"/>
      <c r="F132" s="5">
        <v>204751.58</v>
      </c>
      <c r="I132" s="11">
        <f t="shared" ref="I132:I195" si="4">+D132+E132</f>
        <v>100</v>
      </c>
      <c r="J132" t="str">
        <f t="shared" ref="J132:J195" si="5">IF(E132=0,"DR","CR")</f>
        <v>DR</v>
      </c>
    </row>
    <row r="133" spans="1:10" x14ac:dyDescent="0.25">
      <c r="A133" s="2" t="s">
        <v>296</v>
      </c>
      <c r="B133" s="3" t="s">
        <v>307</v>
      </c>
      <c r="C133" s="2" t="s">
        <v>308</v>
      </c>
      <c r="D133" s="4">
        <v>75</v>
      </c>
      <c r="E133" s="4"/>
      <c r="F133" s="5">
        <v>204676.58</v>
      </c>
      <c r="I133" s="11">
        <f t="shared" si="4"/>
        <v>75</v>
      </c>
      <c r="J133" t="str">
        <f t="shared" si="5"/>
        <v>DR</v>
      </c>
    </row>
    <row r="134" spans="1:10" x14ac:dyDescent="0.25">
      <c r="A134" s="2" t="s">
        <v>296</v>
      </c>
      <c r="B134" s="3" t="s">
        <v>309</v>
      </c>
      <c r="C134" s="2" t="s">
        <v>310</v>
      </c>
      <c r="D134" s="4">
        <v>10</v>
      </c>
      <c r="E134" s="4"/>
      <c r="F134" s="5">
        <v>204666.58</v>
      </c>
      <c r="I134" s="11">
        <f t="shared" si="4"/>
        <v>10</v>
      </c>
      <c r="J134" t="str">
        <f t="shared" si="5"/>
        <v>DR</v>
      </c>
    </row>
    <row r="135" spans="1:10" x14ac:dyDescent="0.25">
      <c r="A135" s="2" t="s">
        <v>311</v>
      </c>
      <c r="B135" s="3" t="s">
        <v>312</v>
      </c>
      <c r="C135" s="2" t="s">
        <v>313</v>
      </c>
      <c r="D135" s="4">
        <v>15</v>
      </c>
      <c r="E135" s="4"/>
      <c r="F135" s="5">
        <v>204651.58</v>
      </c>
      <c r="I135" s="11">
        <f t="shared" si="4"/>
        <v>15</v>
      </c>
      <c r="J135" t="str">
        <f t="shared" si="5"/>
        <v>DR</v>
      </c>
    </row>
    <row r="136" spans="1:10" x14ac:dyDescent="0.25">
      <c r="A136" s="2" t="s">
        <v>311</v>
      </c>
      <c r="B136" s="3" t="s">
        <v>314</v>
      </c>
      <c r="C136" s="2" t="s">
        <v>315</v>
      </c>
      <c r="D136" s="4">
        <v>50</v>
      </c>
      <c r="E136" s="4"/>
      <c r="F136" s="5">
        <v>204601.58</v>
      </c>
      <c r="I136" s="11">
        <f t="shared" si="4"/>
        <v>50</v>
      </c>
      <c r="J136" t="str">
        <f t="shared" si="5"/>
        <v>DR</v>
      </c>
    </row>
    <row r="137" spans="1:10" x14ac:dyDescent="0.25">
      <c r="A137" s="2" t="s">
        <v>311</v>
      </c>
      <c r="B137" s="3" t="s">
        <v>316</v>
      </c>
      <c r="C137" s="2" t="s">
        <v>317</v>
      </c>
      <c r="D137" s="4">
        <v>1240</v>
      </c>
      <c r="E137" s="4"/>
      <c r="F137" s="5">
        <v>203361.58</v>
      </c>
      <c r="I137" s="11">
        <f t="shared" si="4"/>
        <v>1240</v>
      </c>
      <c r="J137" t="str">
        <f t="shared" si="5"/>
        <v>DR</v>
      </c>
    </row>
    <row r="138" spans="1:10" x14ac:dyDescent="0.25">
      <c r="A138" s="2" t="s">
        <v>311</v>
      </c>
      <c r="B138" s="3" t="s">
        <v>318</v>
      </c>
      <c r="C138" s="2" t="s">
        <v>319</v>
      </c>
      <c r="D138" s="4">
        <v>110</v>
      </c>
      <c r="E138" s="4"/>
      <c r="F138" s="5">
        <v>203251.58</v>
      </c>
      <c r="I138" s="11">
        <f t="shared" si="4"/>
        <v>110</v>
      </c>
      <c r="J138" t="str">
        <f t="shared" si="5"/>
        <v>DR</v>
      </c>
    </row>
    <row r="139" spans="1:10" x14ac:dyDescent="0.25">
      <c r="A139" s="2" t="s">
        <v>311</v>
      </c>
      <c r="B139" s="3" t="s">
        <v>320</v>
      </c>
      <c r="C139" s="2" t="s">
        <v>321</v>
      </c>
      <c r="D139" s="4">
        <v>117</v>
      </c>
      <c r="E139" s="4"/>
      <c r="F139" s="5">
        <v>203134.58</v>
      </c>
      <c r="I139" s="11">
        <f t="shared" si="4"/>
        <v>117</v>
      </c>
      <c r="J139" t="str">
        <f t="shared" si="5"/>
        <v>DR</v>
      </c>
    </row>
    <row r="140" spans="1:10" x14ac:dyDescent="0.25">
      <c r="A140" s="2" t="s">
        <v>322</v>
      </c>
      <c r="B140" s="3" t="s">
        <v>323</v>
      </c>
      <c r="C140" s="2" t="s">
        <v>324</v>
      </c>
      <c r="D140" s="4">
        <v>15</v>
      </c>
      <c r="E140" s="4"/>
      <c r="F140" s="5">
        <v>203119.58</v>
      </c>
      <c r="I140" s="11">
        <f t="shared" si="4"/>
        <v>15</v>
      </c>
      <c r="J140" t="str">
        <f t="shared" si="5"/>
        <v>DR</v>
      </c>
    </row>
    <row r="141" spans="1:10" x14ac:dyDescent="0.25">
      <c r="A141" s="2" t="s">
        <v>322</v>
      </c>
      <c r="B141" s="3" t="s">
        <v>325</v>
      </c>
      <c r="C141" s="2" t="s">
        <v>326</v>
      </c>
      <c r="D141" s="4">
        <v>35</v>
      </c>
      <c r="E141" s="4"/>
      <c r="F141" s="5">
        <v>203084.58</v>
      </c>
      <c r="I141" s="11">
        <f t="shared" si="4"/>
        <v>35</v>
      </c>
      <c r="J141" t="str">
        <f t="shared" si="5"/>
        <v>DR</v>
      </c>
    </row>
    <row r="142" spans="1:10" x14ac:dyDescent="0.25">
      <c r="A142" s="2" t="s">
        <v>327</v>
      </c>
      <c r="B142" s="3" t="s">
        <v>328</v>
      </c>
      <c r="C142" s="2" t="s">
        <v>329</v>
      </c>
      <c r="D142" s="4">
        <v>60</v>
      </c>
      <c r="E142" s="4"/>
      <c r="F142" s="5">
        <v>203024.58</v>
      </c>
      <c r="I142" s="11">
        <f t="shared" si="4"/>
        <v>60</v>
      </c>
      <c r="J142" t="str">
        <f t="shared" si="5"/>
        <v>DR</v>
      </c>
    </row>
    <row r="143" spans="1:10" x14ac:dyDescent="0.25">
      <c r="A143" s="2" t="s">
        <v>327</v>
      </c>
      <c r="B143" s="3" t="s">
        <v>330</v>
      </c>
      <c r="C143" s="2" t="s">
        <v>331</v>
      </c>
      <c r="D143" s="4">
        <v>15</v>
      </c>
      <c r="E143" s="4"/>
      <c r="F143" s="5">
        <v>203009.58</v>
      </c>
      <c r="I143" s="11">
        <f t="shared" si="4"/>
        <v>15</v>
      </c>
      <c r="J143" t="str">
        <f t="shared" si="5"/>
        <v>DR</v>
      </c>
    </row>
    <row r="144" spans="1:10" x14ac:dyDescent="0.25">
      <c r="A144" s="2" t="s">
        <v>327</v>
      </c>
      <c r="B144" s="3" t="s">
        <v>332</v>
      </c>
      <c r="C144" s="2" t="s">
        <v>333</v>
      </c>
      <c r="D144" s="4">
        <v>44</v>
      </c>
      <c r="E144" s="4"/>
      <c r="F144" s="5">
        <v>202965.58</v>
      </c>
      <c r="I144" s="11">
        <f t="shared" si="4"/>
        <v>44</v>
      </c>
      <c r="J144" t="str">
        <f t="shared" si="5"/>
        <v>DR</v>
      </c>
    </row>
    <row r="145" spans="1:10" x14ac:dyDescent="0.25">
      <c r="A145" s="2" t="s">
        <v>327</v>
      </c>
      <c r="B145" s="3" t="s">
        <v>334</v>
      </c>
      <c r="C145" s="2" t="s">
        <v>335</v>
      </c>
      <c r="D145" s="4">
        <v>104</v>
      </c>
      <c r="E145" s="4"/>
      <c r="F145" s="5">
        <v>202861.58</v>
      </c>
      <c r="I145" s="11">
        <f t="shared" si="4"/>
        <v>104</v>
      </c>
      <c r="J145" t="str">
        <f t="shared" si="5"/>
        <v>DR</v>
      </c>
    </row>
    <row r="146" spans="1:10" x14ac:dyDescent="0.25">
      <c r="A146" s="2" t="s">
        <v>327</v>
      </c>
      <c r="B146" s="3" t="s">
        <v>336</v>
      </c>
      <c r="C146" s="2" t="s">
        <v>337</v>
      </c>
      <c r="D146" s="4"/>
      <c r="E146" s="4">
        <v>104</v>
      </c>
      <c r="F146" s="5">
        <v>202965.58</v>
      </c>
      <c r="I146" s="11">
        <f t="shared" si="4"/>
        <v>104</v>
      </c>
      <c r="J146" t="str">
        <f t="shared" si="5"/>
        <v>CR</v>
      </c>
    </row>
    <row r="147" spans="1:10" x14ac:dyDescent="0.25">
      <c r="A147" s="2" t="s">
        <v>327</v>
      </c>
      <c r="B147" s="3" t="s">
        <v>338</v>
      </c>
      <c r="C147" s="2" t="s">
        <v>339</v>
      </c>
      <c r="D147" s="4">
        <v>104</v>
      </c>
      <c r="E147" s="4"/>
      <c r="F147" s="5">
        <v>202861.58</v>
      </c>
      <c r="I147" s="11">
        <f t="shared" si="4"/>
        <v>104</v>
      </c>
      <c r="J147" t="str">
        <f t="shared" si="5"/>
        <v>DR</v>
      </c>
    </row>
    <row r="148" spans="1:10" x14ac:dyDescent="0.25">
      <c r="A148" s="2" t="s">
        <v>340</v>
      </c>
      <c r="B148" s="3" t="s">
        <v>341</v>
      </c>
      <c r="C148" s="2"/>
      <c r="D148" s="4">
        <v>0.24</v>
      </c>
      <c r="E148" s="4"/>
      <c r="F148" s="5">
        <v>202861.34</v>
      </c>
      <c r="I148" s="11">
        <f t="shared" si="4"/>
        <v>0.24</v>
      </c>
      <c r="J148" t="str">
        <f t="shared" si="5"/>
        <v>DR</v>
      </c>
    </row>
    <row r="149" spans="1:10" x14ac:dyDescent="0.25">
      <c r="A149" s="2" t="s">
        <v>340</v>
      </c>
      <c r="B149" s="3" t="s">
        <v>342</v>
      </c>
      <c r="C149" s="2" t="s">
        <v>343</v>
      </c>
      <c r="D149" s="4">
        <v>15</v>
      </c>
      <c r="E149" s="4"/>
      <c r="F149" s="5">
        <v>202846.34</v>
      </c>
      <c r="I149" s="11">
        <f t="shared" si="4"/>
        <v>15</v>
      </c>
      <c r="J149" t="str">
        <f t="shared" si="5"/>
        <v>DR</v>
      </c>
    </row>
    <row r="150" spans="1:10" x14ac:dyDescent="0.25">
      <c r="A150" s="2" t="s">
        <v>340</v>
      </c>
      <c r="B150" s="3" t="s">
        <v>344</v>
      </c>
      <c r="C150" s="2" t="s">
        <v>345</v>
      </c>
      <c r="D150" s="4">
        <v>853.43</v>
      </c>
      <c r="E150" s="4"/>
      <c r="F150" s="5">
        <v>201992.91</v>
      </c>
      <c r="I150" s="11">
        <f t="shared" si="4"/>
        <v>853.43</v>
      </c>
      <c r="J150" t="str">
        <f t="shared" si="5"/>
        <v>DR</v>
      </c>
    </row>
    <row r="151" spans="1:10" x14ac:dyDescent="0.25">
      <c r="A151" s="2" t="s">
        <v>340</v>
      </c>
      <c r="B151" s="3" t="s">
        <v>346</v>
      </c>
      <c r="C151" s="2" t="s">
        <v>347</v>
      </c>
      <c r="D151" s="4">
        <v>75</v>
      </c>
      <c r="E151" s="4"/>
      <c r="F151" s="5">
        <v>201917.91</v>
      </c>
      <c r="I151" s="11">
        <f t="shared" si="4"/>
        <v>75</v>
      </c>
      <c r="J151" t="str">
        <f t="shared" si="5"/>
        <v>DR</v>
      </c>
    </row>
    <row r="152" spans="1:10" x14ac:dyDescent="0.25">
      <c r="A152" s="2" t="s">
        <v>340</v>
      </c>
      <c r="B152" s="3" t="s">
        <v>348</v>
      </c>
      <c r="C152" s="2" t="s">
        <v>349</v>
      </c>
      <c r="D152" s="4">
        <v>110</v>
      </c>
      <c r="E152" s="4"/>
      <c r="F152" s="5">
        <v>201807.91</v>
      </c>
      <c r="I152" s="11">
        <f t="shared" si="4"/>
        <v>110</v>
      </c>
      <c r="J152" t="str">
        <f t="shared" si="5"/>
        <v>DR</v>
      </c>
    </row>
    <row r="153" spans="1:10" x14ac:dyDescent="0.25">
      <c r="A153" s="2" t="s">
        <v>350</v>
      </c>
      <c r="B153" s="3" t="s">
        <v>351</v>
      </c>
      <c r="C153" s="2" t="s">
        <v>352</v>
      </c>
      <c r="D153" s="4">
        <v>15</v>
      </c>
      <c r="E153" s="4"/>
      <c r="F153" s="5">
        <v>201792.91</v>
      </c>
      <c r="I153" s="11">
        <f t="shared" si="4"/>
        <v>15</v>
      </c>
      <c r="J153" t="str">
        <f t="shared" si="5"/>
        <v>DR</v>
      </c>
    </row>
    <row r="154" spans="1:10" x14ac:dyDescent="0.25">
      <c r="A154" s="2" t="s">
        <v>350</v>
      </c>
      <c r="B154" s="3" t="s">
        <v>353</v>
      </c>
      <c r="C154" s="2" t="s">
        <v>354</v>
      </c>
      <c r="D154" s="4">
        <v>60</v>
      </c>
      <c r="E154" s="4"/>
      <c r="F154" s="5">
        <v>201732.91</v>
      </c>
      <c r="I154" s="11">
        <f t="shared" si="4"/>
        <v>60</v>
      </c>
      <c r="J154" t="str">
        <f t="shared" si="5"/>
        <v>DR</v>
      </c>
    </row>
    <row r="155" spans="1:10" x14ac:dyDescent="0.25">
      <c r="A155" s="2" t="s">
        <v>350</v>
      </c>
      <c r="B155" s="3" t="s">
        <v>355</v>
      </c>
      <c r="C155" s="2" t="s">
        <v>356</v>
      </c>
      <c r="D155" s="4">
        <v>30</v>
      </c>
      <c r="E155" s="4"/>
      <c r="F155" s="5">
        <v>201702.91</v>
      </c>
      <c r="I155" s="11">
        <f t="shared" si="4"/>
        <v>30</v>
      </c>
      <c r="J155" t="str">
        <f t="shared" si="5"/>
        <v>DR</v>
      </c>
    </row>
    <row r="156" spans="1:10" x14ac:dyDescent="0.25">
      <c r="A156" s="2" t="s">
        <v>350</v>
      </c>
      <c r="B156" s="3" t="s">
        <v>357</v>
      </c>
      <c r="C156" s="2" t="s">
        <v>358</v>
      </c>
      <c r="D156" s="4">
        <v>150</v>
      </c>
      <c r="E156" s="4"/>
      <c r="F156" s="5">
        <v>201552.91</v>
      </c>
      <c r="I156" s="11">
        <f t="shared" si="4"/>
        <v>150</v>
      </c>
      <c r="J156" t="str">
        <f t="shared" si="5"/>
        <v>DR</v>
      </c>
    </row>
    <row r="157" spans="1:10" x14ac:dyDescent="0.25">
      <c r="A157" s="2" t="s">
        <v>350</v>
      </c>
      <c r="B157" s="3" t="s">
        <v>359</v>
      </c>
      <c r="C157" s="2" t="s">
        <v>360</v>
      </c>
      <c r="D157" s="4">
        <v>90</v>
      </c>
      <c r="E157" s="4"/>
      <c r="F157" s="5">
        <v>201462.91</v>
      </c>
      <c r="I157" s="11">
        <f t="shared" si="4"/>
        <v>90</v>
      </c>
      <c r="J157" t="str">
        <f t="shared" si="5"/>
        <v>DR</v>
      </c>
    </row>
    <row r="158" spans="1:10" x14ac:dyDescent="0.25">
      <c r="A158" s="2" t="s">
        <v>361</v>
      </c>
      <c r="B158" s="3" t="s">
        <v>362</v>
      </c>
      <c r="C158" s="2" t="s">
        <v>363</v>
      </c>
      <c r="D158" s="4">
        <v>25</v>
      </c>
      <c r="E158" s="4"/>
      <c r="F158" s="5">
        <v>201437.91</v>
      </c>
      <c r="I158" s="11">
        <f t="shared" si="4"/>
        <v>25</v>
      </c>
      <c r="J158" t="str">
        <f t="shared" si="5"/>
        <v>DR</v>
      </c>
    </row>
    <row r="159" spans="1:10" x14ac:dyDescent="0.25">
      <c r="A159" s="2" t="s">
        <v>361</v>
      </c>
      <c r="B159" s="3" t="s">
        <v>364</v>
      </c>
      <c r="C159" s="2" t="s">
        <v>365</v>
      </c>
      <c r="D159" s="4">
        <v>25</v>
      </c>
      <c r="E159" s="4"/>
      <c r="F159" s="5">
        <v>201412.91</v>
      </c>
      <c r="I159" s="11">
        <f t="shared" si="4"/>
        <v>25</v>
      </c>
      <c r="J159" t="str">
        <f t="shared" si="5"/>
        <v>DR</v>
      </c>
    </row>
    <row r="160" spans="1:10" x14ac:dyDescent="0.25">
      <c r="A160" s="2" t="s">
        <v>361</v>
      </c>
      <c r="B160" s="3" t="s">
        <v>366</v>
      </c>
      <c r="C160" s="2" t="s">
        <v>367</v>
      </c>
      <c r="D160" s="4">
        <v>25</v>
      </c>
      <c r="E160" s="4"/>
      <c r="F160" s="5">
        <v>201387.91</v>
      </c>
      <c r="I160" s="11">
        <f t="shared" si="4"/>
        <v>25</v>
      </c>
      <c r="J160" t="str">
        <f t="shared" si="5"/>
        <v>DR</v>
      </c>
    </row>
    <row r="161" spans="1:10" x14ac:dyDescent="0.25">
      <c r="A161" s="2" t="s">
        <v>361</v>
      </c>
      <c r="B161" s="3" t="s">
        <v>368</v>
      </c>
      <c r="C161" s="2" t="s">
        <v>369</v>
      </c>
      <c r="D161" s="4">
        <v>20</v>
      </c>
      <c r="E161" s="4"/>
      <c r="F161" s="5">
        <v>201367.91</v>
      </c>
      <c r="I161" s="11">
        <f t="shared" si="4"/>
        <v>20</v>
      </c>
      <c r="J161" t="str">
        <f t="shared" si="5"/>
        <v>DR</v>
      </c>
    </row>
    <row r="162" spans="1:10" x14ac:dyDescent="0.25">
      <c r="A162" s="2" t="s">
        <v>361</v>
      </c>
      <c r="B162" s="3" t="s">
        <v>370</v>
      </c>
      <c r="C162" s="2" t="s">
        <v>371</v>
      </c>
      <c r="D162" s="4">
        <v>40</v>
      </c>
      <c r="E162" s="4"/>
      <c r="F162" s="5">
        <v>201327.91</v>
      </c>
      <c r="I162" s="11">
        <f t="shared" si="4"/>
        <v>40</v>
      </c>
      <c r="J162" t="str">
        <f t="shared" si="5"/>
        <v>DR</v>
      </c>
    </row>
    <row r="163" spans="1:10" x14ac:dyDescent="0.25">
      <c r="A163" s="2" t="s">
        <v>361</v>
      </c>
      <c r="B163" s="3" t="s">
        <v>372</v>
      </c>
      <c r="C163" s="2" t="s">
        <v>373</v>
      </c>
      <c r="D163" s="4">
        <v>20</v>
      </c>
      <c r="E163" s="4"/>
      <c r="F163" s="5">
        <v>201307.91</v>
      </c>
      <c r="I163" s="11">
        <f t="shared" si="4"/>
        <v>20</v>
      </c>
      <c r="J163" t="str">
        <f t="shared" si="5"/>
        <v>DR</v>
      </c>
    </row>
    <row r="164" spans="1:10" x14ac:dyDescent="0.25">
      <c r="A164" s="2" t="s">
        <v>361</v>
      </c>
      <c r="B164" s="3" t="s">
        <v>374</v>
      </c>
      <c r="C164" s="2" t="s">
        <v>375</v>
      </c>
      <c r="D164" s="4">
        <v>15</v>
      </c>
      <c r="E164" s="4"/>
      <c r="F164" s="5">
        <v>201292.91</v>
      </c>
      <c r="I164" s="11">
        <f t="shared" si="4"/>
        <v>15</v>
      </c>
      <c r="J164" t="str">
        <f t="shared" si="5"/>
        <v>DR</v>
      </c>
    </row>
    <row r="165" spans="1:10" x14ac:dyDescent="0.25">
      <c r="A165" s="2" t="s">
        <v>376</v>
      </c>
      <c r="B165" s="3" t="s">
        <v>377</v>
      </c>
      <c r="C165" s="2" t="s">
        <v>378</v>
      </c>
      <c r="D165" s="4">
        <v>90</v>
      </c>
      <c r="E165" s="4"/>
      <c r="F165" s="5">
        <v>201202.91</v>
      </c>
      <c r="I165" s="11">
        <f t="shared" si="4"/>
        <v>90</v>
      </c>
      <c r="J165" t="str">
        <f t="shared" si="5"/>
        <v>DR</v>
      </c>
    </row>
    <row r="166" spans="1:10" x14ac:dyDescent="0.25">
      <c r="A166" s="2" t="s">
        <v>376</v>
      </c>
      <c r="B166" s="3" t="s">
        <v>379</v>
      </c>
      <c r="C166" s="2" t="s">
        <v>380</v>
      </c>
      <c r="D166" s="4">
        <v>30</v>
      </c>
      <c r="E166" s="4"/>
      <c r="F166" s="5">
        <v>201172.91</v>
      </c>
      <c r="I166" s="11">
        <f t="shared" si="4"/>
        <v>30</v>
      </c>
      <c r="J166" t="str">
        <f t="shared" si="5"/>
        <v>DR</v>
      </c>
    </row>
    <row r="167" spans="1:10" x14ac:dyDescent="0.25">
      <c r="A167" s="2" t="s">
        <v>376</v>
      </c>
      <c r="B167" s="3" t="s">
        <v>381</v>
      </c>
      <c r="C167" s="2" t="s">
        <v>382</v>
      </c>
      <c r="D167" s="4">
        <v>80</v>
      </c>
      <c r="E167" s="4"/>
      <c r="F167" s="5">
        <v>201092.91</v>
      </c>
      <c r="I167" s="11">
        <f t="shared" si="4"/>
        <v>80</v>
      </c>
      <c r="J167" t="str">
        <f t="shared" si="5"/>
        <v>DR</v>
      </c>
    </row>
    <row r="168" spans="1:10" x14ac:dyDescent="0.25">
      <c r="A168" s="2" t="s">
        <v>376</v>
      </c>
      <c r="B168" s="3" t="s">
        <v>383</v>
      </c>
      <c r="C168" s="2" t="s">
        <v>384</v>
      </c>
      <c r="D168" s="4">
        <v>104</v>
      </c>
      <c r="E168" s="4"/>
      <c r="F168" s="5">
        <v>200988.91</v>
      </c>
      <c r="I168" s="11">
        <f t="shared" si="4"/>
        <v>104</v>
      </c>
      <c r="J168" t="str">
        <f t="shared" si="5"/>
        <v>DR</v>
      </c>
    </row>
    <row r="169" spans="1:10" x14ac:dyDescent="0.25">
      <c r="A169" s="2" t="s">
        <v>376</v>
      </c>
      <c r="B169" s="3" t="s">
        <v>385</v>
      </c>
      <c r="C169" s="2" t="s">
        <v>386</v>
      </c>
      <c r="D169" s="4">
        <v>158</v>
      </c>
      <c r="E169" s="4"/>
      <c r="F169" s="5">
        <v>200830.91</v>
      </c>
      <c r="I169" s="11">
        <f t="shared" si="4"/>
        <v>158</v>
      </c>
      <c r="J169" t="str">
        <f t="shared" si="5"/>
        <v>DR</v>
      </c>
    </row>
    <row r="170" spans="1:10" x14ac:dyDescent="0.25">
      <c r="A170" s="2" t="s">
        <v>387</v>
      </c>
      <c r="B170" s="3" t="s">
        <v>388</v>
      </c>
      <c r="C170" s="2" t="s">
        <v>389</v>
      </c>
      <c r="D170" s="4">
        <v>30</v>
      </c>
      <c r="E170" s="4"/>
      <c r="F170" s="5">
        <v>200800.91</v>
      </c>
      <c r="I170" s="11">
        <f t="shared" si="4"/>
        <v>30</v>
      </c>
      <c r="J170" t="str">
        <f t="shared" si="5"/>
        <v>DR</v>
      </c>
    </row>
    <row r="171" spans="1:10" x14ac:dyDescent="0.25">
      <c r="A171" s="2" t="s">
        <v>387</v>
      </c>
      <c r="B171" s="3" t="s">
        <v>390</v>
      </c>
      <c r="C171" s="2" t="s">
        <v>391</v>
      </c>
      <c r="D171" s="4">
        <v>50</v>
      </c>
      <c r="E171" s="4"/>
      <c r="F171" s="5">
        <v>200750.91</v>
      </c>
      <c r="I171" s="11">
        <f t="shared" si="4"/>
        <v>50</v>
      </c>
      <c r="J171" t="str">
        <f t="shared" si="5"/>
        <v>DR</v>
      </c>
    </row>
    <row r="172" spans="1:10" x14ac:dyDescent="0.25">
      <c r="A172" s="2" t="s">
        <v>392</v>
      </c>
      <c r="B172" s="3" t="s">
        <v>393</v>
      </c>
      <c r="C172" s="2" t="s">
        <v>394</v>
      </c>
      <c r="D172" s="4">
        <v>25</v>
      </c>
      <c r="E172" s="4"/>
      <c r="F172" s="5">
        <v>200725.91</v>
      </c>
      <c r="I172" s="11">
        <f t="shared" si="4"/>
        <v>25</v>
      </c>
      <c r="J172" t="str">
        <f t="shared" si="5"/>
        <v>DR</v>
      </c>
    </row>
    <row r="173" spans="1:10" x14ac:dyDescent="0.25">
      <c r="A173" s="2" t="s">
        <v>392</v>
      </c>
      <c r="B173" s="3" t="s">
        <v>395</v>
      </c>
      <c r="C173" s="2" t="s">
        <v>396</v>
      </c>
      <c r="D173" s="4">
        <v>30</v>
      </c>
      <c r="E173" s="4"/>
      <c r="F173" s="5">
        <v>200695.91</v>
      </c>
      <c r="I173" s="11">
        <f t="shared" si="4"/>
        <v>30</v>
      </c>
      <c r="J173" t="str">
        <f t="shared" si="5"/>
        <v>DR</v>
      </c>
    </row>
    <row r="174" spans="1:10" x14ac:dyDescent="0.25">
      <c r="A174" s="2" t="s">
        <v>397</v>
      </c>
      <c r="B174" s="3" t="s">
        <v>398</v>
      </c>
      <c r="C174" s="2" t="s">
        <v>399</v>
      </c>
      <c r="D174" s="4">
        <v>15</v>
      </c>
      <c r="E174" s="4"/>
      <c r="F174" s="5">
        <v>200680.91</v>
      </c>
      <c r="I174" s="11">
        <f t="shared" si="4"/>
        <v>15</v>
      </c>
      <c r="J174" t="str">
        <f t="shared" si="5"/>
        <v>DR</v>
      </c>
    </row>
    <row r="175" spans="1:10" x14ac:dyDescent="0.25">
      <c r="A175" s="2" t="s">
        <v>397</v>
      </c>
      <c r="B175" s="3" t="s">
        <v>400</v>
      </c>
      <c r="C175" s="2" t="s">
        <v>401</v>
      </c>
      <c r="D175" s="4">
        <v>60</v>
      </c>
      <c r="E175" s="4"/>
      <c r="F175" s="5">
        <v>200620.91</v>
      </c>
      <c r="I175" s="11">
        <f t="shared" si="4"/>
        <v>60</v>
      </c>
      <c r="J175" t="str">
        <f t="shared" si="5"/>
        <v>DR</v>
      </c>
    </row>
    <row r="176" spans="1:10" x14ac:dyDescent="0.25">
      <c r="A176" s="2" t="s">
        <v>397</v>
      </c>
      <c r="B176" s="3" t="s">
        <v>402</v>
      </c>
      <c r="C176" s="2" t="s">
        <v>403</v>
      </c>
      <c r="D176" s="4">
        <v>20</v>
      </c>
      <c r="E176" s="4"/>
      <c r="F176" s="5">
        <v>200600.91</v>
      </c>
      <c r="I176" s="11">
        <f t="shared" si="4"/>
        <v>20</v>
      </c>
      <c r="J176" t="str">
        <f t="shared" si="5"/>
        <v>DR</v>
      </c>
    </row>
    <row r="177" spans="1:10" x14ac:dyDescent="0.25">
      <c r="A177" s="2" t="s">
        <v>397</v>
      </c>
      <c r="B177" s="3" t="s">
        <v>404</v>
      </c>
      <c r="C177" s="2" t="s">
        <v>405</v>
      </c>
      <c r="D177" s="4"/>
      <c r="E177" s="4">
        <v>15</v>
      </c>
      <c r="F177" s="5">
        <v>200615.91</v>
      </c>
      <c r="I177" s="11">
        <f t="shared" si="4"/>
        <v>15</v>
      </c>
      <c r="J177" t="str">
        <f t="shared" si="5"/>
        <v>CR</v>
      </c>
    </row>
    <row r="178" spans="1:10" x14ac:dyDescent="0.25">
      <c r="A178" s="2" t="s">
        <v>397</v>
      </c>
      <c r="B178" s="3" t="s">
        <v>406</v>
      </c>
      <c r="C178" s="2" t="s">
        <v>407</v>
      </c>
      <c r="D178" s="4">
        <v>13600</v>
      </c>
      <c r="E178" s="4"/>
      <c r="F178" s="5">
        <v>187015.91</v>
      </c>
      <c r="I178" s="11">
        <f t="shared" si="4"/>
        <v>13600</v>
      </c>
      <c r="J178" t="str">
        <f t="shared" si="5"/>
        <v>DR</v>
      </c>
    </row>
    <row r="179" spans="1:10" x14ac:dyDescent="0.25">
      <c r="A179" s="2" t="s">
        <v>408</v>
      </c>
      <c r="B179" s="3" t="s">
        <v>409</v>
      </c>
      <c r="C179" s="2" t="s">
        <v>410</v>
      </c>
      <c r="D179" s="4">
        <v>15</v>
      </c>
      <c r="E179" s="4"/>
      <c r="F179" s="5">
        <v>187000.91</v>
      </c>
      <c r="I179" s="11">
        <f t="shared" si="4"/>
        <v>15</v>
      </c>
      <c r="J179" t="str">
        <f t="shared" si="5"/>
        <v>DR</v>
      </c>
    </row>
    <row r="180" spans="1:10" x14ac:dyDescent="0.25">
      <c r="A180" s="2" t="s">
        <v>408</v>
      </c>
      <c r="B180" s="3" t="s">
        <v>411</v>
      </c>
      <c r="C180" s="2" t="s">
        <v>412</v>
      </c>
      <c r="D180" s="4">
        <v>50</v>
      </c>
      <c r="E180" s="4"/>
      <c r="F180" s="5">
        <v>186950.91</v>
      </c>
      <c r="I180" s="11">
        <f t="shared" si="4"/>
        <v>50</v>
      </c>
      <c r="J180" t="str">
        <f t="shared" si="5"/>
        <v>DR</v>
      </c>
    </row>
    <row r="181" spans="1:10" x14ac:dyDescent="0.25">
      <c r="A181" s="2" t="s">
        <v>413</v>
      </c>
      <c r="B181" s="3" t="s">
        <v>414</v>
      </c>
      <c r="C181" s="2"/>
      <c r="D181" s="4"/>
      <c r="E181" s="4">
        <v>20000</v>
      </c>
      <c r="F181" s="5">
        <v>206950.91</v>
      </c>
      <c r="I181" s="11">
        <f t="shared" si="4"/>
        <v>20000</v>
      </c>
      <c r="J181" t="str">
        <f t="shared" si="5"/>
        <v>CR</v>
      </c>
    </row>
    <row r="182" spans="1:10" x14ac:dyDescent="0.25">
      <c r="A182" s="2" t="s">
        <v>413</v>
      </c>
      <c r="B182" s="3" t="s">
        <v>415</v>
      </c>
      <c r="C182" s="2" t="s">
        <v>416</v>
      </c>
      <c r="D182" s="4">
        <v>15</v>
      </c>
      <c r="E182" s="4"/>
      <c r="F182" s="5">
        <v>206935.91</v>
      </c>
      <c r="I182" s="11">
        <f t="shared" si="4"/>
        <v>15</v>
      </c>
      <c r="J182" t="str">
        <f t="shared" si="5"/>
        <v>DR</v>
      </c>
    </row>
    <row r="183" spans="1:10" x14ac:dyDescent="0.25">
      <c r="A183" s="2" t="s">
        <v>413</v>
      </c>
      <c r="B183" s="3" t="s">
        <v>417</v>
      </c>
      <c r="C183" s="2" t="s">
        <v>418</v>
      </c>
      <c r="D183" s="4">
        <v>912.68</v>
      </c>
      <c r="E183" s="4"/>
      <c r="F183" s="5">
        <v>206023.23</v>
      </c>
      <c r="I183" s="11">
        <f t="shared" si="4"/>
        <v>912.68</v>
      </c>
      <c r="J183" t="str">
        <f t="shared" si="5"/>
        <v>DR</v>
      </c>
    </row>
    <row r="184" spans="1:10" x14ac:dyDescent="0.25">
      <c r="A184" s="2" t="s">
        <v>413</v>
      </c>
      <c r="B184" s="3" t="s">
        <v>419</v>
      </c>
      <c r="C184" s="2" t="s">
        <v>420</v>
      </c>
      <c r="D184" s="4">
        <v>60</v>
      </c>
      <c r="E184" s="4"/>
      <c r="F184" s="5">
        <v>205963.23</v>
      </c>
      <c r="I184" s="11">
        <f t="shared" si="4"/>
        <v>60</v>
      </c>
      <c r="J184" t="str">
        <f t="shared" si="5"/>
        <v>DR</v>
      </c>
    </row>
    <row r="185" spans="1:10" x14ac:dyDescent="0.25">
      <c r="A185" s="2" t="s">
        <v>421</v>
      </c>
      <c r="B185" s="3" t="s">
        <v>422</v>
      </c>
      <c r="C185" s="2" t="s">
        <v>423</v>
      </c>
      <c r="D185" s="4">
        <v>50</v>
      </c>
      <c r="E185" s="4"/>
      <c r="F185" s="5">
        <v>205913.23</v>
      </c>
      <c r="I185" s="11">
        <f t="shared" si="4"/>
        <v>50</v>
      </c>
      <c r="J185" t="str">
        <f t="shared" si="5"/>
        <v>DR</v>
      </c>
    </row>
    <row r="186" spans="1:10" x14ac:dyDescent="0.25">
      <c r="A186" s="2" t="s">
        <v>421</v>
      </c>
      <c r="B186" s="3" t="s">
        <v>424</v>
      </c>
      <c r="C186" s="2" t="s">
        <v>425</v>
      </c>
      <c r="D186" s="4">
        <v>40</v>
      </c>
      <c r="E186" s="4"/>
      <c r="F186" s="5">
        <v>205873.23</v>
      </c>
      <c r="I186" s="11">
        <f t="shared" si="4"/>
        <v>40</v>
      </c>
      <c r="J186" t="str">
        <f t="shared" si="5"/>
        <v>DR</v>
      </c>
    </row>
    <row r="187" spans="1:10" x14ac:dyDescent="0.25">
      <c r="A187" s="2" t="s">
        <v>421</v>
      </c>
      <c r="B187" s="3" t="s">
        <v>426</v>
      </c>
      <c r="C187" s="2" t="s">
        <v>427</v>
      </c>
      <c r="D187" s="4">
        <v>35</v>
      </c>
      <c r="E187" s="4"/>
      <c r="F187" s="5">
        <v>205838.23</v>
      </c>
      <c r="I187" s="11">
        <f t="shared" si="4"/>
        <v>35</v>
      </c>
      <c r="J187" t="str">
        <f t="shared" si="5"/>
        <v>DR</v>
      </c>
    </row>
    <row r="188" spans="1:10" x14ac:dyDescent="0.25">
      <c r="A188" s="2" t="s">
        <v>428</v>
      </c>
      <c r="B188" s="3" t="s">
        <v>429</v>
      </c>
      <c r="C188" s="2" t="s">
        <v>430</v>
      </c>
      <c r="D188" s="4">
        <v>15</v>
      </c>
      <c r="E188" s="4"/>
      <c r="F188" s="5">
        <v>205823.23</v>
      </c>
      <c r="I188" s="11">
        <f t="shared" si="4"/>
        <v>15</v>
      </c>
      <c r="J188" t="str">
        <f t="shared" si="5"/>
        <v>DR</v>
      </c>
    </row>
    <row r="189" spans="1:10" x14ac:dyDescent="0.25">
      <c r="A189" s="2" t="s">
        <v>428</v>
      </c>
      <c r="B189" s="3" t="s">
        <v>431</v>
      </c>
      <c r="C189" s="2" t="s">
        <v>432</v>
      </c>
      <c r="D189" s="4">
        <v>60</v>
      </c>
      <c r="E189" s="4"/>
      <c r="F189" s="5">
        <v>205763.23</v>
      </c>
      <c r="I189" s="11">
        <f t="shared" si="4"/>
        <v>60</v>
      </c>
      <c r="J189" t="str">
        <f t="shared" si="5"/>
        <v>DR</v>
      </c>
    </row>
    <row r="190" spans="1:10" x14ac:dyDescent="0.25">
      <c r="A190" s="2" t="s">
        <v>428</v>
      </c>
      <c r="B190" s="3" t="s">
        <v>433</v>
      </c>
      <c r="C190" s="2" t="s">
        <v>434</v>
      </c>
      <c r="D190" s="4">
        <v>249</v>
      </c>
      <c r="E190" s="4"/>
      <c r="F190" s="5">
        <v>205514.23</v>
      </c>
      <c r="I190" s="11">
        <f t="shared" si="4"/>
        <v>249</v>
      </c>
      <c r="J190" t="str">
        <f t="shared" si="5"/>
        <v>DR</v>
      </c>
    </row>
    <row r="191" spans="1:10" x14ac:dyDescent="0.25">
      <c r="A191" s="2" t="s">
        <v>435</v>
      </c>
      <c r="B191" s="3" t="s">
        <v>436</v>
      </c>
      <c r="C191" s="2" t="s">
        <v>437</v>
      </c>
      <c r="D191" s="4">
        <v>15</v>
      </c>
      <c r="E191" s="4"/>
      <c r="F191" s="5">
        <v>205499.23</v>
      </c>
      <c r="I191" s="11">
        <f t="shared" si="4"/>
        <v>15</v>
      </c>
      <c r="J191" t="str">
        <f t="shared" si="5"/>
        <v>DR</v>
      </c>
    </row>
    <row r="192" spans="1:10" x14ac:dyDescent="0.25">
      <c r="A192" s="2" t="s">
        <v>435</v>
      </c>
      <c r="B192" s="3" t="s">
        <v>438</v>
      </c>
      <c r="C192" s="2" t="s">
        <v>439</v>
      </c>
      <c r="D192" s="4">
        <v>73</v>
      </c>
      <c r="E192" s="4"/>
      <c r="F192" s="5">
        <v>205426.23</v>
      </c>
      <c r="I192" s="11">
        <f t="shared" si="4"/>
        <v>73</v>
      </c>
      <c r="J192" t="str">
        <f t="shared" si="5"/>
        <v>DR</v>
      </c>
    </row>
    <row r="193" spans="1:10" x14ac:dyDescent="0.25">
      <c r="A193" s="2" t="s">
        <v>435</v>
      </c>
      <c r="B193" s="3" t="s">
        <v>440</v>
      </c>
      <c r="C193" s="2" t="s">
        <v>441</v>
      </c>
      <c r="D193" s="4">
        <v>799</v>
      </c>
      <c r="E193" s="4"/>
      <c r="F193" s="5">
        <v>204627.23</v>
      </c>
      <c r="I193" s="11">
        <f t="shared" si="4"/>
        <v>799</v>
      </c>
      <c r="J193" t="str">
        <f t="shared" si="5"/>
        <v>DR</v>
      </c>
    </row>
    <row r="194" spans="1:10" x14ac:dyDescent="0.25">
      <c r="A194" s="2" t="s">
        <v>442</v>
      </c>
      <c r="B194" s="3" t="s">
        <v>443</v>
      </c>
      <c r="C194" s="2" t="s">
        <v>444</v>
      </c>
      <c r="D194" s="4">
        <v>15</v>
      </c>
      <c r="E194" s="4"/>
      <c r="F194" s="5">
        <v>204612.23</v>
      </c>
      <c r="I194" s="11">
        <f t="shared" si="4"/>
        <v>15</v>
      </c>
      <c r="J194" t="str">
        <f t="shared" si="5"/>
        <v>DR</v>
      </c>
    </row>
    <row r="195" spans="1:10" x14ac:dyDescent="0.25">
      <c r="A195" s="2" t="s">
        <v>442</v>
      </c>
      <c r="B195" s="3" t="s">
        <v>445</v>
      </c>
      <c r="C195" s="2" t="s">
        <v>446</v>
      </c>
      <c r="D195" s="4">
        <v>65</v>
      </c>
      <c r="E195" s="4"/>
      <c r="F195" s="5">
        <v>204547.23</v>
      </c>
      <c r="I195" s="11">
        <f t="shared" si="4"/>
        <v>65</v>
      </c>
      <c r="J195" t="str">
        <f t="shared" si="5"/>
        <v>DR</v>
      </c>
    </row>
    <row r="196" spans="1:10" x14ac:dyDescent="0.25">
      <c r="A196" s="2" t="s">
        <v>442</v>
      </c>
      <c r="B196" s="3" t="s">
        <v>447</v>
      </c>
      <c r="C196" s="2" t="s">
        <v>448</v>
      </c>
      <c r="D196" s="4">
        <v>30</v>
      </c>
      <c r="E196" s="4"/>
      <c r="F196" s="5">
        <v>204517.23</v>
      </c>
      <c r="I196" s="11">
        <f t="shared" ref="I196:I259" si="6">+D196+E196</f>
        <v>30</v>
      </c>
      <c r="J196" t="str">
        <f t="shared" ref="J196:J259" si="7">IF(E196=0,"DR","CR")</f>
        <v>DR</v>
      </c>
    </row>
    <row r="197" spans="1:10" x14ac:dyDescent="0.25">
      <c r="A197" s="2" t="s">
        <v>442</v>
      </c>
      <c r="B197" s="3" t="s">
        <v>449</v>
      </c>
      <c r="C197" s="2" t="s">
        <v>450</v>
      </c>
      <c r="D197" s="4">
        <v>20</v>
      </c>
      <c r="E197" s="4"/>
      <c r="F197" s="5">
        <v>204497.23</v>
      </c>
      <c r="I197" s="11">
        <f t="shared" si="6"/>
        <v>20</v>
      </c>
      <c r="J197" t="str">
        <f t="shared" si="7"/>
        <v>DR</v>
      </c>
    </row>
    <row r="198" spans="1:10" x14ac:dyDescent="0.25">
      <c r="A198" s="2" t="s">
        <v>442</v>
      </c>
      <c r="B198" s="3" t="s">
        <v>451</v>
      </c>
      <c r="C198" s="2" t="s">
        <v>452</v>
      </c>
      <c r="D198" s="4">
        <v>40</v>
      </c>
      <c r="E198" s="4"/>
      <c r="F198" s="5">
        <v>204457.23</v>
      </c>
      <c r="I198" s="11">
        <f t="shared" si="6"/>
        <v>40</v>
      </c>
      <c r="J198" t="str">
        <f t="shared" si="7"/>
        <v>DR</v>
      </c>
    </row>
    <row r="199" spans="1:10" x14ac:dyDescent="0.25">
      <c r="A199" s="2" t="s">
        <v>453</v>
      </c>
      <c r="B199" s="3" t="s">
        <v>454</v>
      </c>
      <c r="C199" s="2" t="s">
        <v>455</v>
      </c>
      <c r="D199" s="4">
        <v>15</v>
      </c>
      <c r="E199" s="4"/>
      <c r="F199" s="5">
        <v>204442.23</v>
      </c>
      <c r="I199" s="11">
        <f t="shared" si="6"/>
        <v>15</v>
      </c>
      <c r="J199" t="str">
        <f t="shared" si="7"/>
        <v>DR</v>
      </c>
    </row>
    <row r="200" spans="1:10" x14ac:dyDescent="0.25">
      <c r="A200" s="2" t="s">
        <v>453</v>
      </c>
      <c r="B200" s="3" t="s">
        <v>456</v>
      </c>
      <c r="C200" s="2" t="s">
        <v>457</v>
      </c>
      <c r="D200" s="4">
        <v>65</v>
      </c>
      <c r="E200" s="4"/>
      <c r="F200" s="5">
        <v>204377.23</v>
      </c>
      <c r="I200" s="11">
        <f t="shared" si="6"/>
        <v>65</v>
      </c>
      <c r="J200" t="str">
        <f t="shared" si="7"/>
        <v>DR</v>
      </c>
    </row>
    <row r="201" spans="1:10" x14ac:dyDescent="0.25">
      <c r="A201" s="2" t="s">
        <v>453</v>
      </c>
      <c r="B201" s="3" t="s">
        <v>458</v>
      </c>
      <c r="C201" s="2" t="s">
        <v>459</v>
      </c>
      <c r="D201" s="4">
        <v>70</v>
      </c>
      <c r="E201" s="4"/>
      <c r="F201" s="5">
        <v>204307.23</v>
      </c>
      <c r="I201" s="11">
        <f t="shared" si="6"/>
        <v>70</v>
      </c>
      <c r="J201" t="str">
        <f t="shared" si="7"/>
        <v>DR</v>
      </c>
    </row>
    <row r="202" spans="1:10" x14ac:dyDescent="0.25">
      <c r="A202" s="2" t="s">
        <v>460</v>
      </c>
      <c r="B202" s="3" t="s">
        <v>461</v>
      </c>
      <c r="C202" s="2" t="s">
        <v>462</v>
      </c>
      <c r="D202" s="4">
        <v>15</v>
      </c>
      <c r="E202" s="4"/>
      <c r="F202" s="5">
        <v>204292.23</v>
      </c>
      <c r="I202" s="11">
        <f t="shared" si="6"/>
        <v>15</v>
      </c>
      <c r="J202" t="str">
        <f t="shared" si="7"/>
        <v>DR</v>
      </c>
    </row>
    <row r="203" spans="1:10" x14ac:dyDescent="0.25">
      <c r="A203" s="2" t="s">
        <v>460</v>
      </c>
      <c r="B203" s="3" t="s">
        <v>463</v>
      </c>
      <c r="C203" s="2" t="s">
        <v>464</v>
      </c>
      <c r="D203" s="4">
        <v>70</v>
      </c>
      <c r="E203" s="4"/>
      <c r="F203" s="5">
        <v>204222.23</v>
      </c>
      <c r="I203" s="11">
        <f t="shared" si="6"/>
        <v>70</v>
      </c>
      <c r="J203" t="str">
        <f t="shared" si="7"/>
        <v>DR</v>
      </c>
    </row>
    <row r="204" spans="1:10" x14ac:dyDescent="0.25">
      <c r="A204" s="2" t="s">
        <v>460</v>
      </c>
      <c r="B204" s="3" t="s">
        <v>465</v>
      </c>
      <c r="C204" s="2" t="s">
        <v>466</v>
      </c>
      <c r="D204" s="4">
        <v>470.82</v>
      </c>
      <c r="E204" s="4"/>
      <c r="F204" s="5">
        <v>203751.41</v>
      </c>
      <c r="I204" s="11">
        <f t="shared" si="6"/>
        <v>470.82</v>
      </c>
      <c r="J204" t="str">
        <f t="shared" si="7"/>
        <v>DR</v>
      </c>
    </row>
    <row r="205" spans="1:10" x14ac:dyDescent="0.25">
      <c r="A205" s="2" t="s">
        <v>467</v>
      </c>
      <c r="B205" s="3" t="s">
        <v>468</v>
      </c>
      <c r="C205" s="2" t="s">
        <v>469</v>
      </c>
      <c r="D205" s="4">
        <v>50</v>
      </c>
      <c r="E205" s="4"/>
      <c r="F205" s="5">
        <v>203701.41</v>
      </c>
      <c r="I205" s="11">
        <f t="shared" si="6"/>
        <v>50</v>
      </c>
      <c r="J205" t="str">
        <f t="shared" si="7"/>
        <v>DR</v>
      </c>
    </row>
    <row r="206" spans="1:10" x14ac:dyDescent="0.25">
      <c r="A206" s="2" t="s">
        <v>467</v>
      </c>
      <c r="B206" s="3" t="s">
        <v>470</v>
      </c>
      <c r="C206" s="2" t="s">
        <v>471</v>
      </c>
      <c r="D206" s="4">
        <v>40</v>
      </c>
      <c r="E206" s="4"/>
      <c r="F206" s="5">
        <v>203661.41</v>
      </c>
      <c r="I206" s="11">
        <f t="shared" si="6"/>
        <v>40</v>
      </c>
      <c r="J206" t="str">
        <f t="shared" si="7"/>
        <v>DR</v>
      </c>
    </row>
    <row r="207" spans="1:10" x14ac:dyDescent="0.25">
      <c r="A207" s="2" t="s">
        <v>467</v>
      </c>
      <c r="B207" s="3" t="s">
        <v>472</v>
      </c>
      <c r="C207" s="2" t="s">
        <v>473</v>
      </c>
      <c r="D207" s="4">
        <v>20</v>
      </c>
      <c r="E207" s="4"/>
      <c r="F207" s="5">
        <v>203641.41</v>
      </c>
      <c r="I207" s="11">
        <f t="shared" si="6"/>
        <v>20</v>
      </c>
      <c r="J207" t="str">
        <f t="shared" si="7"/>
        <v>DR</v>
      </c>
    </row>
    <row r="208" spans="1:10" x14ac:dyDescent="0.25">
      <c r="A208" s="2" t="s">
        <v>467</v>
      </c>
      <c r="B208" s="3" t="s">
        <v>474</v>
      </c>
      <c r="C208" s="2" t="s">
        <v>475</v>
      </c>
      <c r="D208" s="4">
        <v>50</v>
      </c>
      <c r="E208" s="4"/>
      <c r="F208" s="5">
        <v>203591.41</v>
      </c>
      <c r="I208" s="11">
        <f t="shared" si="6"/>
        <v>50</v>
      </c>
      <c r="J208" t="str">
        <f t="shared" si="7"/>
        <v>DR</v>
      </c>
    </row>
    <row r="209" spans="1:10" x14ac:dyDescent="0.25">
      <c r="A209" s="2" t="s">
        <v>467</v>
      </c>
      <c r="B209" s="3" t="s">
        <v>476</v>
      </c>
      <c r="C209" s="2" t="s">
        <v>477</v>
      </c>
      <c r="D209" s="4">
        <v>200</v>
      </c>
      <c r="E209" s="4"/>
      <c r="F209" s="5">
        <v>203391.41</v>
      </c>
      <c r="I209" s="11">
        <f t="shared" si="6"/>
        <v>200</v>
      </c>
      <c r="J209" t="str">
        <f t="shared" si="7"/>
        <v>DR</v>
      </c>
    </row>
    <row r="210" spans="1:10" x14ac:dyDescent="0.25">
      <c r="A210" s="2" t="s">
        <v>467</v>
      </c>
      <c r="B210" s="3" t="s">
        <v>478</v>
      </c>
      <c r="C210" s="2" t="s">
        <v>479</v>
      </c>
      <c r="D210" s="4">
        <v>100</v>
      </c>
      <c r="E210" s="4"/>
      <c r="F210" s="5">
        <v>203291.41</v>
      </c>
      <c r="I210" s="11">
        <f t="shared" si="6"/>
        <v>100</v>
      </c>
      <c r="J210" t="str">
        <f t="shared" si="7"/>
        <v>DR</v>
      </c>
    </row>
    <row r="211" spans="1:10" x14ac:dyDescent="0.25">
      <c r="A211" s="2" t="s">
        <v>467</v>
      </c>
      <c r="B211" s="3" t="s">
        <v>480</v>
      </c>
      <c r="C211" s="2" t="s">
        <v>481</v>
      </c>
      <c r="D211" s="4">
        <v>964.49</v>
      </c>
      <c r="E211" s="4"/>
      <c r="F211" s="5">
        <v>202326.92</v>
      </c>
      <c r="I211" s="11">
        <f t="shared" si="6"/>
        <v>964.49</v>
      </c>
      <c r="J211" t="str">
        <f t="shared" si="7"/>
        <v>DR</v>
      </c>
    </row>
    <row r="212" spans="1:10" x14ac:dyDescent="0.25">
      <c r="A212" s="2" t="s">
        <v>467</v>
      </c>
      <c r="B212" s="3" t="s">
        <v>482</v>
      </c>
      <c r="C212" s="2" t="s">
        <v>483</v>
      </c>
      <c r="D212" s="4">
        <v>80</v>
      </c>
      <c r="E212" s="4"/>
      <c r="F212" s="5">
        <v>202246.92</v>
      </c>
      <c r="I212" s="11">
        <f t="shared" si="6"/>
        <v>80</v>
      </c>
      <c r="J212" t="str">
        <f t="shared" si="7"/>
        <v>DR</v>
      </c>
    </row>
    <row r="213" spans="1:10" x14ac:dyDescent="0.25">
      <c r="A213" s="2" t="s">
        <v>484</v>
      </c>
      <c r="B213" s="3" t="s">
        <v>485</v>
      </c>
      <c r="C213" s="2" t="s">
        <v>486</v>
      </c>
      <c r="D213" s="4">
        <v>100</v>
      </c>
      <c r="E213" s="4"/>
      <c r="F213" s="5">
        <v>202146.92</v>
      </c>
      <c r="I213" s="11">
        <f t="shared" si="6"/>
        <v>100</v>
      </c>
      <c r="J213" t="str">
        <f t="shared" si="7"/>
        <v>DR</v>
      </c>
    </row>
    <row r="214" spans="1:10" x14ac:dyDescent="0.25">
      <c r="A214" s="2" t="s">
        <v>484</v>
      </c>
      <c r="B214" s="3" t="s">
        <v>487</v>
      </c>
      <c r="C214" s="2" t="s">
        <v>488</v>
      </c>
      <c r="D214" s="4">
        <v>12</v>
      </c>
      <c r="E214" s="4"/>
      <c r="F214" s="5">
        <v>202134.92</v>
      </c>
      <c r="I214" s="11">
        <f t="shared" si="6"/>
        <v>12</v>
      </c>
      <c r="J214" t="str">
        <f t="shared" si="7"/>
        <v>DR</v>
      </c>
    </row>
    <row r="215" spans="1:10" x14ac:dyDescent="0.25">
      <c r="A215" s="2" t="s">
        <v>484</v>
      </c>
      <c r="B215" s="3" t="s">
        <v>489</v>
      </c>
      <c r="C215" s="2" t="s">
        <v>490</v>
      </c>
      <c r="D215" s="4">
        <v>64</v>
      </c>
      <c r="E215" s="4"/>
      <c r="F215" s="5">
        <v>202070.92</v>
      </c>
      <c r="I215" s="11">
        <f t="shared" si="6"/>
        <v>64</v>
      </c>
      <c r="J215" t="str">
        <f t="shared" si="7"/>
        <v>DR</v>
      </c>
    </row>
    <row r="216" spans="1:10" x14ac:dyDescent="0.25">
      <c r="A216" s="2" t="s">
        <v>484</v>
      </c>
      <c r="B216" s="3" t="s">
        <v>491</v>
      </c>
      <c r="C216" s="2" t="s">
        <v>492</v>
      </c>
      <c r="D216" s="4">
        <v>100</v>
      </c>
      <c r="E216" s="4"/>
      <c r="F216" s="5">
        <v>201970.92</v>
      </c>
      <c r="I216" s="11">
        <f t="shared" si="6"/>
        <v>100</v>
      </c>
      <c r="J216" t="str">
        <f t="shared" si="7"/>
        <v>DR</v>
      </c>
    </row>
    <row r="217" spans="1:10" x14ac:dyDescent="0.25">
      <c r="A217" s="2" t="s">
        <v>484</v>
      </c>
      <c r="B217" s="3" t="s">
        <v>493</v>
      </c>
      <c r="C217" s="2" t="s">
        <v>494</v>
      </c>
      <c r="D217" s="4">
        <v>130</v>
      </c>
      <c r="E217" s="4"/>
      <c r="F217" s="5">
        <v>201840.92</v>
      </c>
      <c r="I217" s="11">
        <f t="shared" si="6"/>
        <v>130</v>
      </c>
      <c r="J217" t="str">
        <f t="shared" si="7"/>
        <v>DR</v>
      </c>
    </row>
    <row r="218" spans="1:10" x14ac:dyDescent="0.25">
      <c r="A218" s="2" t="s">
        <v>484</v>
      </c>
      <c r="B218" s="3" t="s">
        <v>495</v>
      </c>
      <c r="C218" s="2" t="s">
        <v>496</v>
      </c>
      <c r="D218" s="4">
        <v>20</v>
      </c>
      <c r="E218" s="4"/>
      <c r="F218" s="5">
        <v>201820.92</v>
      </c>
      <c r="I218" s="11">
        <f t="shared" si="6"/>
        <v>20</v>
      </c>
      <c r="J218" t="str">
        <f t="shared" si="7"/>
        <v>DR</v>
      </c>
    </row>
    <row r="219" spans="1:10" x14ac:dyDescent="0.25">
      <c r="A219" s="2" t="s">
        <v>484</v>
      </c>
      <c r="B219" s="3" t="s">
        <v>497</v>
      </c>
      <c r="C219" s="2" t="s">
        <v>498</v>
      </c>
      <c r="D219" s="4">
        <v>40</v>
      </c>
      <c r="E219" s="4"/>
      <c r="F219" s="5">
        <v>201780.92</v>
      </c>
      <c r="I219" s="11">
        <f t="shared" si="6"/>
        <v>40</v>
      </c>
      <c r="J219" t="str">
        <f t="shared" si="7"/>
        <v>DR</v>
      </c>
    </row>
    <row r="220" spans="1:10" x14ac:dyDescent="0.25">
      <c r="A220" s="2" t="s">
        <v>499</v>
      </c>
      <c r="B220" s="3" t="s">
        <v>500</v>
      </c>
      <c r="C220" s="2" t="s">
        <v>501</v>
      </c>
      <c r="D220" s="4">
        <v>15</v>
      </c>
      <c r="E220" s="4"/>
      <c r="F220" s="5">
        <v>201765.92</v>
      </c>
      <c r="I220" s="11">
        <f t="shared" si="6"/>
        <v>15</v>
      </c>
      <c r="J220" t="str">
        <f t="shared" si="7"/>
        <v>DR</v>
      </c>
    </row>
    <row r="221" spans="1:10" x14ac:dyDescent="0.25">
      <c r="A221" s="2" t="s">
        <v>502</v>
      </c>
      <c r="B221" s="3" t="s">
        <v>503</v>
      </c>
      <c r="C221" s="2" t="s">
        <v>504</v>
      </c>
      <c r="D221" s="4">
        <v>15</v>
      </c>
      <c r="E221" s="4"/>
      <c r="F221" s="5">
        <v>201750.92</v>
      </c>
      <c r="I221" s="11">
        <f t="shared" si="6"/>
        <v>15</v>
      </c>
      <c r="J221" t="str">
        <f t="shared" si="7"/>
        <v>DR</v>
      </c>
    </row>
    <row r="222" spans="1:10" x14ac:dyDescent="0.25">
      <c r="A222" s="2" t="s">
        <v>502</v>
      </c>
      <c r="B222" s="3" t="s">
        <v>505</v>
      </c>
      <c r="C222" s="2" t="s">
        <v>506</v>
      </c>
      <c r="D222" s="4">
        <v>60</v>
      </c>
      <c r="E222" s="4"/>
      <c r="F222" s="5">
        <v>201690.92</v>
      </c>
      <c r="I222" s="11">
        <f t="shared" si="6"/>
        <v>60</v>
      </c>
      <c r="J222" t="str">
        <f t="shared" si="7"/>
        <v>DR</v>
      </c>
    </row>
    <row r="223" spans="1:10" x14ac:dyDescent="0.25">
      <c r="A223" s="2" t="s">
        <v>502</v>
      </c>
      <c r="B223" s="3" t="s">
        <v>507</v>
      </c>
      <c r="C223" s="2" t="s">
        <v>508</v>
      </c>
      <c r="D223" s="4">
        <v>100</v>
      </c>
      <c r="E223" s="4"/>
      <c r="F223" s="5">
        <v>201590.92</v>
      </c>
      <c r="I223" s="11">
        <f t="shared" si="6"/>
        <v>100</v>
      </c>
      <c r="J223" t="str">
        <f t="shared" si="7"/>
        <v>DR</v>
      </c>
    </row>
    <row r="224" spans="1:10" x14ac:dyDescent="0.25">
      <c r="A224" s="2" t="s">
        <v>509</v>
      </c>
      <c r="B224" s="3" t="s">
        <v>510</v>
      </c>
      <c r="C224" s="2" t="s">
        <v>511</v>
      </c>
      <c r="D224" s="4">
        <v>60</v>
      </c>
      <c r="E224" s="4"/>
      <c r="F224" s="5">
        <v>201530.92</v>
      </c>
      <c r="I224" s="11">
        <f t="shared" si="6"/>
        <v>60</v>
      </c>
      <c r="J224" t="str">
        <f t="shared" si="7"/>
        <v>DR</v>
      </c>
    </row>
    <row r="225" spans="1:10" x14ac:dyDescent="0.25">
      <c r="A225" s="2" t="s">
        <v>509</v>
      </c>
      <c r="B225" s="3" t="s">
        <v>512</v>
      </c>
      <c r="C225" s="2" t="s">
        <v>513</v>
      </c>
      <c r="D225" s="4">
        <v>40</v>
      </c>
      <c r="E225" s="4"/>
      <c r="F225" s="5">
        <v>201490.92</v>
      </c>
      <c r="I225" s="11">
        <f t="shared" si="6"/>
        <v>40</v>
      </c>
      <c r="J225" t="str">
        <f t="shared" si="7"/>
        <v>DR</v>
      </c>
    </row>
    <row r="226" spans="1:10" x14ac:dyDescent="0.25">
      <c r="A226" s="2" t="s">
        <v>509</v>
      </c>
      <c r="B226" s="3" t="s">
        <v>514</v>
      </c>
      <c r="C226" s="2" t="s">
        <v>515</v>
      </c>
      <c r="D226" s="4">
        <v>80</v>
      </c>
      <c r="E226" s="4"/>
      <c r="F226" s="5">
        <v>201410.92</v>
      </c>
      <c r="I226" s="11">
        <f t="shared" si="6"/>
        <v>80</v>
      </c>
      <c r="J226" t="str">
        <f t="shared" si="7"/>
        <v>DR</v>
      </c>
    </row>
    <row r="227" spans="1:10" x14ac:dyDescent="0.25">
      <c r="A227" s="2" t="s">
        <v>516</v>
      </c>
      <c r="B227" s="3" t="s">
        <v>517</v>
      </c>
      <c r="C227" s="2" t="s">
        <v>518</v>
      </c>
      <c r="D227" s="4">
        <v>15</v>
      </c>
      <c r="E227" s="4"/>
      <c r="F227" s="5">
        <v>201395.92</v>
      </c>
      <c r="I227" s="11">
        <f t="shared" si="6"/>
        <v>15</v>
      </c>
      <c r="J227" t="str">
        <f t="shared" si="7"/>
        <v>DR</v>
      </c>
    </row>
    <row r="228" spans="1:10" x14ac:dyDescent="0.25">
      <c r="A228" s="2" t="s">
        <v>516</v>
      </c>
      <c r="B228" s="3" t="s">
        <v>519</v>
      </c>
      <c r="C228" s="2" t="s">
        <v>520</v>
      </c>
      <c r="D228" s="4">
        <v>60</v>
      </c>
      <c r="E228" s="4"/>
      <c r="F228" s="5">
        <v>201335.92</v>
      </c>
      <c r="I228" s="11">
        <f t="shared" si="6"/>
        <v>60</v>
      </c>
      <c r="J228" t="str">
        <f t="shared" si="7"/>
        <v>DR</v>
      </c>
    </row>
    <row r="229" spans="1:10" x14ac:dyDescent="0.25">
      <c r="A229" s="2" t="s">
        <v>516</v>
      </c>
      <c r="B229" s="3" t="s">
        <v>521</v>
      </c>
      <c r="C229" s="2" t="s">
        <v>522</v>
      </c>
      <c r="D229" s="4"/>
      <c r="E229" s="4">
        <v>350</v>
      </c>
      <c r="F229" s="5">
        <v>201685.92</v>
      </c>
      <c r="I229" s="11">
        <f t="shared" si="6"/>
        <v>350</v>
      </c>
      <c r="J229" t="str">
        <f t="shared" si="7"/>
        <v>CR</v>
      </c>
    </row>
    <row r="230" spans="1:10" x14ac:dyDescent="0.25">
      <c r="A230" s="2" t="s">
        <v>516</v>
      </c>
      <c r="B230" s="3" t="s">
        <v>523</v>
      </c>
      <c r="C230" s="2" t="s">
        <v>524</v>
      </c>
      <c r="D230" s="4">
        <v>350</v>
      </c>
      <c r="E230" s="4"/>
      <c r="F230" s="5">
        <v>201335.92</v>
      </c>
      <c r="I230" s="11">
        <f t="shared" si="6"/>
        <v>350</v>
      </c>
      <c r="J230" t="str">
        <f t="shared" si="7"/>
        <v>DR</v>
      </c>
    </row>
    <row r="231" spans="1:10" x14ac:dyDescent="0.25">
      <c r="A231" s="2" t="s">
        <v>516</v>
      </c>
      <c r="B231" s="3" t="s">
        <v>525</v>
      </c>
      <c r="C231" s="2" t="s">
        <v>526</v>
      </c>
      <c r="D231" s="4">
        <v>100</v>
      </c>
      <c r="E231" s="4"/>
      <c r="F231" s="5">
        <v>201235.92</v>
      </c>
      <c r="I231" s="11">
        <f t="shared" si="6"/>
        <v>100</v>
      </c>
      <c r="J231" t="str">
        <f t="shared" si="7"/>
        <v>DR</v>
      </c>
    </row>
    <row r="232" spans="1:10" x14ac:dyDescent="0.25">
      <c r="A232" s="2" t="s">
        <v>527</v>
      </c>
      <c r="B232" s="3" t="s">
        <v>528</v>
      </c>
      <c r="C232" s="2" t="s">
        <v>529</v>
      </c>
      <c r="D232" s="4">
        <v>20</v>
      </c>
      <c r="E232" s="4"/>
      <c r="F232" s="5">
        <v>201215.92</v>
      </c>
      <c r="I232" s="11">
        <f t="shared" si="6"/>
        <v>20</v>
      </c>
      <c r="J232" t="str">
        <f t="shared" si="7"/>
        <v>DR</v>
      </c>
    </row>
    <row r="233" spans="1:10" x14ac:dyDescent="0.25">
      <c r="A233" s="2" t="s">
        <v>527</v>
      </c>
      <c r="B233" s="3" t="s">
        <v>530</v>
      </c>
      <c r="C233" s="2" t="s">
        <v>531</v>
      </c>
      <c r="D233" s="4">
        <v>25</v>
      </c>
      <c r="E233" s="4"/>
      <c r="F233" s="5">
        <v>201190.92</v>
      </c>
      <c r="I233" s="11">
        <f t="shared" si="6"/>
        <v>25</v>
      </c>
      <c r="J233" t="str">
        <f t="shared" si="7"/>
        <v>DR</v>
      </c>
    </row>
    <row r="234" spans="1:10" x14ac:dyDescent="0.25">
      <c r="A234" s="2" t="s">
        <v>527</v>
      </c>
      <c r="B234" s="3" t="s">
        <v>532</v>
      </c>
      <c r="C234" s="2" t="s">
        <v>533</v>
      </c>
      <c r="D234" s="4">
        <v>40</v>
      </c>
      <c r="E234" s="4"/>
      <c r="F234" s="5">
        <v>201150.92</v>
      </c>
      <c r="I234" s="11">
        <f t="shared" si="6"/>
        <v>40</v>
      </c>
      <c r="J234" t="str">
        <f t="shared" si="7"/>
        <v>DR</v>
      </c>
    </row>
    <row r="235" spans="1:10" x14ac:dyDescent="0.25">
      <c r="A235" s="2" t="s">
        <v>527</v>
      </c>
      <c r="B235" s="3" t="s">
        <v>534</v>
      </c>
      <c r="C235" s="2" t="s">
        <v>535</v>
      </c>
      <c r="D235" s="4">
        <v>30</v>
      </c>
      <c r="E235" s="4"/>
      <c r="F235" s="5">
        <v>201120.92</v>
      </c>
      <c r="I235" s="11">
        <f t="shared" si="6"/>
        <v>30</v>
      </c>
      <c r="J235" t="str">
        <f t="shared" si="7"/>
        <v>DR</v>
      </c>
    </row>
    <row r="236" spans="1:10" x14ac:dyDescent="0.25">
      <c r="A236" s="2" t="s">
        <v>527</v>
      </c>
      <c r="B236" s="3" t="s">
        <v>536</v>
      </c>
      <c r="C236" s="2" t="s">
        <v>537</v>
      </c>
      <c r="D236" s="4">
        <v>100</v>
      </c>
      <c r="E236" s="4"/>
      <c r="F236" s="5">
        <v>201020.92</v>
      </c>
      <c r="I236" s="11">
        <f t="shared" si="6"/>
        <v>100</v>
      </c>
      <c r="J236" t="str">
        <f t="shared" si="7"/>
        <v>DR</v>
      </c>
    </row>
    <row r="237" spans="1:10" x14ac:dyDescent="0.25">
      <c r="A237" s="2" t="s">
        <v>527</v>
      </c>
      <c r="B237" s="3" t="s">
        <v>538</v>
      </c>
      <c r="C237" s="2" t="s">
        <v>539</v>
      </c>
      <c r="D237" s="4">
        <v>50</v>
      </c>
      <c r="E237" s="4"/>
      <c r="F237" s="5">
        <v>200970.92</v>
      </c>
      <c r="I237" s="11">
        <f t="shared" si="6"/>
        <v>50</v>
      </c>
      <c r="J237" t="str">
        <f t="shared" si="7"/>
        <v>DR</v>
      </c>
    </row>
    <row r="238" spans="1:10" x14ac:dyDescent="0.25">
      <c r="A238" s="2" t="s">
        <v>540</v>
      </c>
      <c r="B238" s="3" t="s">
        <v>541</v>
      </c>
      <c r="C238" s="2" t="s">
        <v>542</v>
      </c>
      <c r="D238" s="4">
        <v>5</v>
      </c>
      <c r="E238" s="4"/>
      <c r="F238" s="5">
        <v>200965.92</v>
      </c>
      <c r="I238" s="11">
        <f t="shared" si="6"/>
        <v>5</v>
      </c>
      <c r="J238" t="str">
        <f t="shared" si="7"/>
        <v>DR</v>
      </c>
    </row>
    <row r="239" spans="1:10" x14ac:dyDescent="0.25">
      <c r="A239" s="2" t="s">
        <v>540</v>
      </c>
      <c r="B239" s="3" t="s">
        <v>543</v>
      </c>
      <c r="C239" s="2" t="s">
        <v>544</v>
      </c>
      <c r="D239" s="4">
        <v>928.8</v>
      </c>
      <c r="E239" s="4"/>
      <c r="F239" s="5">
        <v>200037.12</v>
      </c>
      <c r="I239" s="11">
        <f t="shared" si="6"/>
        <v>928.8</v>
      </c>
      <c r="J239" t="str">
        <f t="shared" si="7"/>
        <v>DR</v>
      </c>
    </row>
    <row r="240" spans="1:10" x14ac:dyDescent="0.25">
      <c r="A240" s="2" t="s">
        <v>540</v>
      </c>
      <c r="B240" s="3" t="s">
        <v>545</v>
      </c>
      <c r="C240" s="2" t="s">
        <v>546</v>
      </c>
      <c r="D240" s="4">
        <v>40</v>
      </c>
      <c r="E240" s="4"/>
      <c r="F240" s="5">
        <v>199997.12</v>
      </c>
      <c r="I240" s="11">
        <f t="shared" si="6"/>
        <v>40</v>
      </c>
      <c r="J240" t="str">
        <f t="shared" si="7"/>
        <v>DR</v>
      </c>
    </row>
    <row r="241" spans="1:10" x14ac:dyDescent="0.25">
      <c r="A241" s="2" t="s">
        <v>547</v>
      </c>
      <c r="B241" s="3" t="s">
        <v>548</v>
      </c>
      <c r="C241" s="2" t="s">
        <v>549</v>
      </c>
      <c r="D241" s="4">
        <v>19</v>
      </c>
      <c r="E241" s="4"/>
      <c r="F241" s="5">
        <v>199978.12</v>
      </c>
      <c r="I241" s="11">
        <f t="shared" si="6"/>
        <v>19</v>
      </c>
      <c r="J241" t="str">
        <f t="shared" si="7"/>
        <v>DR</v>
      </c>
    </row>
    <row r="242" spans="1:10" x14ac:dyDescent="0.25">
      <c r="A242" s="2" t="s">
        <v>547</v>
      </c>
      <c r="B242" s="3" t="s">
        <v>550</v>
      </c>
      <c r="C242" s="2" t="s">
        <v>551</v>
      </c>
      <c r="D242" s="4">
        <v>25</v>
      </c>
      <c r="E242" s="4"/>
      <c r="F242" s="5">
        <v>199953.12</v>
      </c>
      <c r="I242" s="11">
        <f t="shared" si="6"/>
        <v>25</v>
      </c>
      <c r="J242" t="str">
        <f t="shared" si="7"/>
        <v>DR</v>
      </c>
    </row>
    <row r="243" spans="1:10" x14ac:dyDescent="0.25">
      <c r="A243" s="2" t="s">
        <v>547</v>
      </c>
      <c r="B243" s="3" t="s">
        <v>552</v>
      </c>
      <c r="C243" s="2" t="s">
        <v>553</v>
      </c>
      <c r="D243" s="4">
        <v>132</v>
      </c>
      <c r="E243" s="4"/>
      <c r="F243" s="5">
        <v>199821.12</v>
      </c>
      <c r="I243" s="11">
        <f t="shared" si="6"/>
        <v>132</v>
      </c>
      <c r="J243" t="str">
        <f t="shared" si="7"/>
        <v>DR</v>
      </c>
    </row>
    <row r="244" spans="1:10" x14ac:dyDescent="0.25">
      <c r="A244" s="2" t="s">
        <v>547</v>
      </c>
      <c r="B244" s="3" t="s">
        <v>554</v>
      </c>
      <c r="C244" s="2" t="s">
        <v>555</v>
      </c>
      <c r="D244" s="4">
        <v>30</v>
      </c>
      <c r="E244" s="4"/>
      <c r="F244" s="5">
        <v>199791.12</v>
      </c>
      <c r="I244" s="11">
        <f t="shared" si="6"/>
        <v>30</v>
      </c>
      <c r="J244" t="str">
        <f t="shared" si="7"/>
        <v>DR</v>
      </c>
    </row>
    <row r="245" spans="1:10" x14ac:dyDescent="0.25">
      <c r="A245" s="2" t="s">
        <v>556</v>
      </c>
      <c r="B245" s="3" t="s">
        <v>557</v>
      </c>
      <c r="C245" s="2" t="s">
        <v>558</v>
      </c>
      <c r="D245" s="4">
        <v>40</v>
      </c>
      <c r="E245" s="4"/>
      <c r="F245" s="5">
        <v>199751.12</v>
      </c>
      <c r="I245" s="11">
        <f t="shared" si="6"/>
        <v>40</v>
      </c>
      <c r="J245" t="str">
        <f t="shared" si="7"/>
        <v>DR</v>
      </c>
    </row>
    <row r="246" spans="1:10" x14ac:dyDescent="0.25">
      <c r="A246" s="2" t="s">
        <v>556</v>
      </c>
      <c r="B246" s="3" t="s">
        <v>559</v>
      </c>
      <c r="C246" s="2" t="s">
        <v>560</v>
      </c>
      <c r="D246" s="4">
        <v>40</v>
      </c>
      <c r="E246" s="4"/>
      <c r="F246" s="5">
        <v>199711.12</v>
      </c>
      <c r="I246" s="11">
        <f t="shared" si="6"/>
        <v>40</v>
      </c>
      <c r="J246" t="str">
        <f t="shared" si="7"/>
        <v>DR</v>
      </c>
    </row>
    <row r="247" spans="1:10" x14ac:dyDescent="0.25">
      <c r="A247" s="2" t="s">
        <v>556</v>
      </c>
      <c r="B247" s="3" t="s">
        <v>561</v>
      </c>
      <c r="C247" s="2" t="s">
        <v>562</v>
      </c>
      <c r="D247" s="4">
        <v>2</v>
      </c>
      <c r="E247" s="4"/>
      <c r="F247" s="5">
        <v>199709.12</v>
      </c>
      <c r="I247" s="11">
        <f t="shared" si="6"/>
        <v>2</v>
      </c>
      <c r="J247" t="str">
        <f t="shared" si="7"/>
        <v>DR</v>
      </c>
    </row>
    <row r="248" spans="1:10" x14ac:dyDescent="0.25">
      <c r="A248" s="2" t="s">
        <v>556</v>
      </c>
      <c r="B248" s="3" t="s">
        <v>563</v>
      </c>
      <c r="C248" s="2" t="s">
        <v>564</v>
      </c>
      <c r="D248" s="4"/>
      <c r="E248" s="4">
        <v>2</v>
      </c>
      <c r="F248" s="5">
        <v>199711.12</v>
      </c>
      <c r="I248" s="11">
        <f t="shared" si="6"/>
        <v>2</v>
      </c>
      <c r="J248" t="str">
        <f t="shared" si="7"/>
        <v>CR</v>
      </c>
    </row>
    <row r="249" spans="1:10" x14ac:dyDescent="0.25">
      <c r="A249" s="2" t="s">
        <v>556</v>
      </c>
      <c r="B249" s="3" t="s">
        <v>565</v>
      </c>
      <c r="C249" s="2" t="s">
        <v>566</v>
      </c>
      <c r="D249" s="4">
        <v>80</v>
      </c>
      <c r="E249" s="4"/>
      <c r="F249" s="5">
        <v>199631.12</v>
      </c>
      <c r="I249" s="11">
        <f t="shared" si="6"/>
        <v>80</v>
      </c>
      <c r="J249" t="str">
        <f t="shared" si="7"/>
        <v>DR</v>
      </c>
    </row>
    <row r="250" spans="1:10" x14ac:dyDescent="0.25">
      <c r="A250" s="2" t="s">
        <v>556</v>
      </c>
      <c r="B250" s="3" t="s">
        <v>567</v>
      </c>
      <c r="C250" s="2" t="s">
        <v>568</v>
      </c>
      <c r="D250" s="4">
        <v>80</v>
      </c>
      <c r="E250" s="4"/>
      <c r="F250" s="5">
        <v>199551.12</v>
      </c>
      <c r="I250" s="11">
        <f t="shared" si="6"/>
        <v>80</v>
      </c>
      <c r="J250" t="str">
        <f t="shared" si="7"/>
        <v>DR</v>
      </c>
    </row>
    <row r="251" spans="1:10" x14ac:dyDescent="0.25">
      <c r="A251" s="2" t="s">
        <v>569</v>
      </c>
      <c r="B251" s="3" t="s">
        <v>570</v>
      </c>
      <c r="C251" s="2" t="s">
        <v>571</v>
      </c>
      <c r="D251" s="4">
        <v>15</v>
      </c>
      <c r="E251" s="4"/>
      <c r="F251" s="5">
        <v>199536.12</v>
      </c>
      <c r="I251" s="11">
        <f t="shared" si="6"/>
        <v>15</v>
      </c>
      <c r="J251" t="str">
        <f t="shared" si="7"/>
        <v>DR</v>
      </c>
    </row>
    <row r="252" spans="1:10" x14ac:dyDescent="0.25">
      <c r="A252" s="2" t="s">
        <v>569</v>
      </c>
      <c r="B252" s="3" t="s">
        <v>572</v>
      </c>
      <c r="C252" s="2" t="s">
        <v>573</v>
      </c>
      <c r="D252" s="4">
        <v>240</v>
      </c>
      <c r="E252" s="4"/>
      <c r="F252" s="5">
        <v>199296.12</v>
      </c>
      <c r="I252" s="11">
        <f t="shared" si="6"/>
        <v>240</v>
      </c>
      <c r="J252" t="str">
        <f t="shared" si="7"/>
        <v>DR</v>
      </c>
    </row>
    <row r="253" spans="1:10" x14ac:dyDescent="0.25">
      <c r="A253" s="2" t="s">
        <v>574</v>
      </c>
      <c r="B253" s="3" t="s">
        <v>575</v>
      </c>
      <c r="C253" s="2" t="s">
        <v>576</v>
      </c>
      <c r="D253" s="4">
        <v>15</v>
      </c>
      <c r="E253" s="4"/>
      <c r="F253" s="5">
        <v>199281.12</v>
      </c>
      <c r="I253" s="11">
        <f t="shared" si="6"/>
        <v>15</v>
      </c>
      <c r="J253" t="str">
        <f t="shared" si="7"/>
        <v>DR</v>
      </c>
    </row>
    <row r="254" spans="1:10" x14ac:dyDescent="0.25">
      <c r="A254" s="2" t="s">
        <v>574</v>
      </c>
      <c r="B254" s="3" t="s">
        <v>577</v>
      </c>
      <c r="C254" s="2" t="s">
        <v>578</v>
      </c>
      <c r="D254" s="4">
        <v>902.28</v>
      </c>
      <c r="E254" s="4"/>
      <c r="F254" s="5">
        <v>198378.84</v>
      </c>
      <c r="I254" s="11">
        <f t="shared" si="6"/>
        <v>902.28</v>
      </c>
      <c r="J254" t="str">
        <f t="shared" si="7"/>
        <v>DR</v>
      </c>
    </row>
    <row r="255" spans="1:10" x14ac:dyDescent="0.25">
      <c r="A255" s="2" t="s">
        <v>574</v>
      </c>
      <c r="B255" s="3" t="s">
        <v>579</v>
      </c>
      <c r="C255" s="2" t="s">
        <v>580</v>
      </c>
      <c r="D255" s="4">
        <v>2</v>
      </c>
      <c r="E255" s="4"/>
      <c r="F255" s="5">
        <v>198376.84</v>
      </c>
      <c r="I255" s="11">
        <f t="shared" si="6"/>
        <v>2</v>
      </c>
      <c r="J255" t="str">
        <f t="shared" si="7"/>
        <v>DR</v>
      </c>
    </row>
    <row r="256" spans="1:10" x14ac:dyDescent="0.25">
      <c r="A256" s="2" t="s">
        <v>574</v>
      </c>
      <c r="B256" s="3" t="s">
        <v>581</v>
      </c>
      <c r="C256" s="2" t="s">
        <v>582</v>
      </c>
      <c r="D256" s="4"/>
      <c r="E256" s="4">
        <v>2</v>
      </c>
      <c r="F256" s="5">
        <v>198378.84</v>
      </c>
      <c r="I256" s="11">
        <f t="shared" si="6"/>
        <v>2</v>
      </c>
      <c r="J256" t="str">
        <f t="shared" si="7"/>
        <v>CR</v>
      </c>
    </row>
    <row r="257" spans="1:10" x14ac:dyDescent="0.25">
      <c r="A257" s="2" t="s">
        <v>574</v>
      </c>
      <c r="B257" s="3" t="s">
        <v>583</v>
      </c>
      <c r="C257" s="2" t="s">
        <v>584</v>
      </c>
      <c r="D257" s="4">
        <v>60</v>
      </c>
      <c r="E257" s="4"/>
      <c r="F257" s="5">
        <v>198318.84</v>
      </c>
      <c r="I257" s="11">
        <f t="shared" si="6"/>
        <v>60</v>
      </c>
      <c r="J257" t="str">
        <f t="shared" si="7"/>
        <v>DR</v>
      </c>
    </row>
    <row r="258" spans="1:10" x14ac:dyDescent="0.25">
      <c r="A258" s="2" t="s">
        <v>585</v>
      </c>
      <c r="B258" s="3" t="s">
        <v>586</v>
      </c>
      <c r="C258" s="2" t="s">
        <v>587</v>
      </c>
      <c r="D258" s="4">
        <v>150</v>
      </c>
      <c r="E258" s="4"/>
      <c r="F258" s="5">
        <v>198168.84</v>
      </c>
      <c r="I258" s="11">
        <f t="shared" si="6"/>
        <v>150</v>
      </c>
      <c r="J258" t="str">
        <f t="shared" si="7"/>
        <v>DR</v>
      </c>
    </row>
    <row r="259" spans="1:10" x14ac:dyDescent="0.25">
      <c r="A259" s="2" t="s">
        <v>585</v>
      </c>
      <c r="B259" s="3" t="s">
        <v>588</v>
      </c>
      <c r="C259" s="2" t="s">
        <v>589</v>
      </c>
      <c r="D259" s="4">
        <v>150</v>
      </c>
      <c r="E259" s="4"/>
      <c r="F259" s="5">
        <v>198018.84</v>
      </c>
      <c r="I259" s="11">
        <f t="shared" si="6"/>
        <v>150</v>
      </c>
      <c r="J259" t="str">
        <f t="shared" si="7"/>
        <v>DR</v>
      </c>
    </row>
    <row r="260" spans="1:10" x14ac:dyDescent="0.25">
      <c r="A260" s="2" t="s">
        <v>585</v>
      </c>
      <c r="B260" s="3" t="s">
        <v>590</v>
      </c>
      <c r="C260" s="2" t="s">
        <v>591</v>
      </c>
      <c r="D260" s="4">
        <v>15</v>
      </c>
      <c r="E260" s="4"/>
      <c r="F260" s="5">
        <v>198003.84</v>
      </c>
      <c r="I260" s="11">
        <f t="shared" ref="I260:I323" si="8">+D260+E260</f>
        <v>15</v>
      </c>
      <c r="J260" t="str">
        <f t="shared" ref="J260:J323" si="9">IF(E260=0,"DR","CR")</f>
        <v>DR</v>
      </c>
    </row>
    <row r="261" spans="1:10" x14ac:dyDescent="0.25">
      <c r="A261" s="2" t="s">
        <v>585</v>
      </c>
      <c r="B261" s="3" t="s">
        <v>592</v>
      </c>
      <c r="C261" s="2" t="s">
        <v>593</v>
      </c>
      <c r="D261" s="4">
        <v>65</v>
      </c>
      <c r="E261" s="4"/>
      <c r="F261" s="5">
        <v>197938.84</v>
      </c>
      <c r="I261" s="11">
        <f t="shared" si="8"/>
        <v>65</v>
      </c>
      <c r="J261" t="str">
        <f t="shared" si="9"/>
        <v>DR</v>
      </c>
    </row>
    <row r="262" spans="1:10" x14ac:dyDescent="0.25">
      <c r="A262" s="2" t="s">
        <v>585</v>
      </c>
      <c r="B262" s="3" t="s">
        <v>594</v>
      </c>
      <c r="C262" s="2" t="s">
        <v>595</v>
      </c>
      <c r="D262" s="4">
        <v>35</v>
      </c>
      <c r="E262" s="4"/>
      <c r="F262" s="5">
        <v>197903.84</v>
      </c>
      <c r="I262" s="11">
        <f t="shared" si="8"/>
        <v>35</v>
      </c>
      <c r="J262" t="str">
        <f t="shared" si="9"/>
        <v>DR</v>
      </c>
    </row>
    <row r="263" spans="1:10" x14ac:dyDescent="0.25">
      <c r="A263" s="2" t="s">
        <v>585</v>
      </c>
      <c r="B263" s="3" t="s">
        <v>596</v>
      </c>
      <c r="C263" s="2" t="s">
        <v>597</v>
      </c>
      <c r="D263" s="4">
        <v>90</v>
      </c>
      <c r="E263" s="4"/>
      <c r="F263" s="5">
        <v>197813.84</v>
      </c>
      <c r="I263" s="11">
        <f t="shared" si="8"/>
        <v>90</v>
      </c>
      <c r="J263" t="str">
        <f t="shared" si="9"/>
        <v>DR</v>
      </c>
    </row>
    <row r="264" spans="1:10" x14ac:dyDescent="0.25">
      <c r="A264" s="2" t="s">
        <v>598</v>
      </c>
      <c r="B264" s="3" t="s">
        <v>599</v>
      </c>
      <c r="C264" s="2" t="s">
        <v>600</v>
      </c>
      <c r="D264" s="4">
        <v>1640</v>
      </c>
      <c r="E264" s="4"/>
      <c r="F264" s="5">
        <v>196173.84</v>
      </c>
      <c r="I264" s="11">
        <f t="shared" si="8"/>
        <v>1640</v>
      </c>
      <c r="J264" t="str">
        <f t="shared" si="9"/>
        <v>DR</v>
      </c>
    </row>
    <row r="265" spans="1:10" x14ac:dyDescent="0.25">
      <c r="A265" s="2" t="s">
        <v>598</v>
      </c>
      <c r="B265" s="3" t="s">
        <v>601</v>
      </c>
      <c r="C265" s="2" t="s">
        <v>602</v>
      </c>
      <c r="D265" s="4">
        <v>4000</v>
      </c>
      <c r="E265" s="4"/>
      <c r="F265" s="5">
        <v>192173.84</v>
      </c>
      <c r="I265" s="11">
        <f t="shared" si="8"/>
        <v>4000</v>
      </c>
      <c r="J265" t="str">
        <f t="shared" si="9"/>
        <v>DR</v>
      </c>
    </row>
    <row r="266" spans="1:10" x14ac:dyDescent="0.25">
      <c r="A266" s="2" t="s">
        <v>598</v>
      </c>
      <c r="B266" s="3" t="s">
        <v>603</v>
      </c>
      <c r="C266" s="2" t="s">
        <v>604</v>
      </c>
      <c r="D266" s="4">
        <v>4000</v>
      </c>
      <c r="E266" s="4"/>
      <c r="F266" s="5">
        <v>188173.84</v>
      </c>
      <c r="I266" s="11">
        <f t="shared" si="8"/>
        <v>4000</v>
      </c>
      <c r="J266" t="str">
        <f t="shared" si="9"/>
        <v>DR</v>
      </c>
    </row>
    <row r="267" spans="1:10" x14ac:dyDescent="0.25">
      <c r="A267" s="2" t="s">
        <v>598</v>
      </c>
      <c r="B267" s="3" t="s">
        <v>605</v>
      </c>
      <c r="C267" s="2" t="s">
        <v>606</v>
      </c>
      <c r="D267" s="4">
        <v>50</v>
      </c>
      <c r="E267" s="4"/>
      <c r="F267" s="5">
        <v>188123.84</v>
      </c>
      <c r="I267" s="11">
        <f t="shared" si="8"/>
        <v>50</v>
      </c>
      <c r="J267" t="str">
        <f t="shared" si="9"/>
        <v>DR</v>
      </c>
    </row>
    <row r="268" spans="1:10" x14ac:dyDescent="0.25">
      <c r="A268" s="2" t="s">
        <v>598</v>
      </c>
      <c r="B268" s="3" t="s">
        <v>607</v>
      </c>
      <c r="C268" s="2" t="s">
        <v>608</v>
      </c>
      <c r="D268" s="4">
        <v>40</v>
      </c>
      <c r="E268" s="4"/>
      <c r="F268" s="5">
        <v>188083.84</v>
      </c>
      <c r="I268" s="11">
        <f t="shared" si="8"/>
        <v>40</v>
      </c>
      <c r="J268" t="str">
        <f t="shared" si="9"/>
        <v>DR</v>
      </c>
    </row>
    <row r="269" spans="1:10" x14ac:dyDescent="0.25">
      <c r="A269" s="2" t="s">
        <v>609</v>
      </c>
      <c r="B269" s="3" t="s">
        <v>610</v>
      </c>
      <c r="C269" s="2" t="s">
        <v>611</v>
      </c>
      <c r="D269" s="4">
        <v>86</v>
      </c>
      <c r="E269" s="4"/>
      <c r="F269" s="5">
        <v>187997.84</v>
      </c>
      <c r="I269" s="11">
        <f t="shared" si="8"/>
        <v>86</v>
      </c>
      <c r="J269" t="str">
        <f t="shared" si="9"/>
        <v>DR</v>
      </c>
    </row>
    <row r="270" spans="1:10" x14ac:dyDescent="0.25">
      <c r="A270" s="2" t="s">
        <v>609</v>
      </c>
      <c r="B270" s="3" t="s">
        <v>612</v>
      </c>
      <c r="C270" s="2" t="s">
        <v>613</v>
      </c>
      <c r="D270" s="4">
        <v>150</v>
      </c>
      <c r="E270" s="4"/>
      <c r="F270" s="5">
        <v>187847.84</v>
      </c>
      <c r="I270" s="11">
        <f t="shared" si="8"/>
        <v>150</v>
      </c>
      <c r="J270" t="str">
        <f t="shared" si="9"/>
        <v>DR</v>
      </c>
    </row>
    <row r="271" spans="1:10" x14ac:dyDescent="0.25">
      <c r="A271" s="2" t="s">
        <v>609</v>
      </c>
      <c r="B271" s="3" t="s">
        <v>614</v>
      </c>
      <c r="C271" s="2" t="s">
        <v>615</v>
      </c>
      <c r="D271" s="4">
        <v>40</v>
      </c>
      <c r="E271" s="4"/>
      <c r="F271" s="5">
        <v>187807.84</v>
      </c>
      <c r="I271" s="11">
        <f t="shared" si="8"/>
        <v>40</v>
      </c>
      <c r="J271" t="str">
        <f t="shared" si="9"/>
        <v>DR</v>
      </c>
    </row>
    <row r="272" spans="1:10" x14ac:dyDescent="0.25">
      <c r="A272" s="2" t="s">
        <v>609</v>
      </c>
      <c r="B272" s="3" t="s">
        <v>616</v>
      </c>
      <c r="C272" s="2" t="s">
        <v>617</v>
      </c>
      <c r="D272" s="4">
        <v>60</v>
      </c>
      <c r="E272" s="4"/>
      <c r="F272" s="5">
        <v>187747.84</v>
      </c>
      <c r="I272" s="11">
        <f t="shared" si="8"/>
        <v>60</v>
      </c>
      <c r="J272" t="str">
        <f t="shared" si="9"/>
        <v>DR</v>
      </c>
    </row>
    <row r="273" spans="1:10" x14ac:dyDescent="0.25">
      <c r="A273" s="2" t="s">
        <v>618</v>
      </c>
      <c r="B273" s="3" t="s">
        <v>619</v>
      </c>
      <c r="C273" s="2" t="s">
        <v>620</v>
      </c>
      <c r="D273" s="4">
        <v>40</v>
      </c>
      <c r="E273" s="4"/>
      <c r="F273" s="5">
        <v>187707.84</v>
      </c>
      <c r="I273" s="11">
        <f t="shared" si="8"/>
        <v>40</v>
      </c>
      <c r="J273" t="str">
        <f t="shared" si="9"/>
        <v>DR</v>
      </c>
    </row>
    <row r="274" spans="1:10" x14ac:dyDescent="0.25">
      <c r="A274" s="2" t="s">
        <v>618</v>
      </c>
      <c r="B274" s="3" t="s">
        <v>621</v>
      </c>
      <c r="C274" s="2" t="s">
        <v>622</v>
      </c>
      <c r="D274" s="4">
        <v>375</v>
      </c>
      <c r="E274" s="4"/>
      <c r="F274" s="5">
        <v>187332.84</v>
      </c>
      <c r="I274" s="11">
        <f t="shared" si="8"/>
        <v>375</v>
      </c>
      <c r="J274" t="str">
        <f t="shared" si="9"/>
        <v>DR</v>
      </c>
    </row>
    <row r="275" spans="1:10" x14ac:dyDescent="0.25">
      <c r="A275" s="2" t="s">
        <v>618</v>
      </c>
      <c r="B275" s="3" t="s">
        <v>623</v>
      </c>
      <c r="C275" s="2" t="s">
        <v>624</v>
      </c>
      <c r="D275" s="4">
        <v>8950</v>
      </c>
      <c r="E275" s="4"/>
      <c r="F275" s="5">
        <v>178382.84</v>
      </c>
      <c r="I275" s="11">
        <f t="shared" si="8"/>
        <v>8950</v>
      </c>
      <c r="J275" t="str">
        <f t="shared" si="9"/>
        <v>DR</v>
      </c>
    </row>
    <row r="276" spans="1:10" x14ac:dyDescent="0.25">
      <c r="A276" s="2" t="s">
        <v>618</v>
      </c>
      <c r="B276" s="3" t="s">
        <v>625</v>
      </c>
      <c r="C276" s="2" t="s">
        <v>626</v>
      </c>
      <c r="D276" s="4">
        <v>30</v>
      </c>
      <c r="E276" s="4"/>
      <c r="F276" s="5">
        <v>178352.84</v>
      </c>
      <c r="I276" s="11">
        <f t="shared" si="8"/>
        <v>30</v>
      </c>
      <c r="J276" t="str">
        <f t="shared" si="9"/>
        <v>DR</v>
      </c>
    </row>
    <row r="277" spans="1:10" x14ac:dyDescent="0.25">
      <c r="A277" s="2" t="s">
        <v>627</v>
      </c>
      <c r="B277" s="3" t="s">
        <v>628</v>
      </c>
      <c r="C277" s="2" t="s">
        <v>629</v>
      </c>
      <c r="D277" s="4">
        <v>15</v>
      </c>
      <c r="E277" s="4"/>
      <c r="F277" s="5">
        <v>178337.84</v>
      </c>
      <c r="I277" s="11">
        <f t="shared" si="8"/>
        <v>15</v>
      </c>
      <c r="J277" t="str">
        <f t="shared" si="9"/>
        <v>DR</v>
      </c>
    </row>
    <row r="278" spans="1:10" x14ac:dyDescent="0.25">
      <c r="A278" s="2" t="s">
        <v>627</v>
      </c>
      <c r="B278" s="3" t="s">
        <v>630</v>
      </c>
      <c r="C278" s="2" t="s">
        <v>631</v>
      </c>
      <c r="D278" s="4">
        <v>60</v>
      </c>
      <c r="E278" s="4"/>
      <c r="F278" s="5">
        <v>178277.84</v>
      </c>
      <c r="I278" s="11">
        <f t="shared" si="8"/>
        <v>60</v>
      </c>
      <c r="J278" t="str">
        <f t="shared" si="9"/>
        <v>DR</v>
      </c>
    </row>
    <row r="279" spans="1:10" x14ac:dyDescent="0.25">
      <c r="A279" s="2" t="s">
        <v>632</v>
      </c>
      <c r="B279" s="3" t="s">
        <v>633</v>
      </c>
      <c r="C279" s="2" t="s">
        <v>634</v>
      </c>
      <c r="D279" s="4">
        <v>15</v>
      </c>
      <c r="E279" s="4"/>
      <c r="F279" s="5">
        <v>178262.84</v>
      </c>
      <c r="I279" s="11">
        <f t="shared" si="8"/>
        <v>15</v>
      </c>
      <c r="J279" t="str">
        <f t="shared" si="9"/>
        <v>DR</v>
      </c>
    </row>
    <row r="280" spans="1:10" x14ac:dyDescent="0.25">
      <c r="A280" s="2" t="s">
        <v>632</v>
      </c>
      <c r="B280" s="3" t="s">
        <v>635</v>
      </c>
      <c r="C280" s="2" t="s">
        <v>636</v>
      </c>
      <c r="D280" s="4">
        <v>864.48</v>
      </c>
      <c r="E280" s="4"/>
      <c r="F280" s="5">
        <v>177398.36</v>
      </c>
      <c r="I280" s="11">
        <f t="shared" si="8"/>
        <v>864.48</v>
      </c>
      <c r="J280" t="str">
        <f t="shared" si="9"/>
        <v>DR</v>
      </c>
    </row>
    <row r="281" spans="1:10" x14ac:dyDescent="0.25">
      <c r="A281" s="2" t="s">
        <v>632</v>
      </c>
      <c r="B281" s="3" t="s">
        <v>637</v>
      </c>
      <c r="C281" s="2" t="s">
        <v>638</v>
      </c>
      <c r="D281" s="4">
        <v>10</v>
      </c>
      <c r="E281" s="4"/>
      <c r="F281" s="5">
        <v>177388.36</v>
      </c>
      <c r="I281" s="11">
        <f t="shared" si="8"/>
        <v>10</v>
      </c>
      <c r="J281" t="str">
        <f t="shared" si="9"/>
        <v>DR</v>
      </c>
    </row>
    <row r="282" spans="1:10" x14ac:dyDescent="0.25">
      <c r="A282" s="2" t="s">
        <v>632</v>
      </c>
      <c r="B282" s="3" t="s">
        <v>639</v>
      </c>
      <c r="C282" s="2" t="s">
        <v>640</v>
      </c>
      <c r="D282" s="4">
        <v>75</v>
      </c>
      <c r="E282" s="4"/>
      <c r="F282" s="5">
        <v>177313.36</v>
      </c>
      <c r="I282" s="11">
        <f t="shared" si="8"/>
        <v>75</v>
      </c>
      <c r="J282" t="str">
        <f t="shared" si="9"/>
        <v>DR</v>
      </c>
    </row>
    <row r="283" spans="1:10" x14ac:dyDescent="0.25">
      <c r="A283" s="2" t="s">
        <v>632</v>
      </c>
      <c r="B283" s="3" t="s">
        <v>641</v>
      </c>
      <c r="C283" s="2" t="s">
        <v>642</v>
      </c>
      <c r="D283" s="4">
        <v>20</v>
      </c>
      <c r="E283" s="4"/>
      <c r="F283" s="5">
        <v>177293.36</v>
      </c>
      <c r="I283" s="11">
        <f t="shared" si="8"/>
        <v>20</v>
      </c>
      <c r="J283" t="str">
        <f t="shared" si="9"/>
        <v>DR</v>
      </c>
    </row>
    <row r="284" spans="1:10" x14ac:dyDescent="0.25">
      <c r="A284" s="2" t="s">
        <v>632</v>
      </c>
      <c r="B284" s="3" t="s">
        <v>643</v>
      </c>
      <c r="C284" s="2" t="s">
        <v>644</v>
      </c>
      <c r="D284" s="4">
        <v>65</v>
      </c>
      <c r="E284" s="4"/>
      <c r="F284" s="5">
        <v>177228.36</v>
      </c>
      <c r="I284" s="11">
        <f t="shared" si="8"/>
        <v>65</v>
      </c>
      <c r="J284" t="str">
        <f t="shared" si="9"/>
        <v>DR</v>
      </c>
    </row>
    <row r="285" spans="1:10" x14ac:dyDescent="0.25">
      <c r="A285" s="2" t="s">
        <v>645</v>
      </c>
      <c r="B285" s="3" t="s">
        <v>646</v>
      </c>
      <c r="C285" s="2" t="s">
        <v>647</v>
      </c>
      <c r="D285" s="4">
        <v>15</v>
      </c>
      <c r="E285" s="4"/>
      <c r="F285" s="5">
        <v>177213.36</v>
      </c>
      <c r="I285" s="11">
        <f t="shared" si="8"/>
        <v>15</v>
      </c>
      <c r="J285" t="str">
        <f t="shared" si="9"/>
        <v>DR</v>
      </c>
    </row>
    <row r="286" spans="1:10" x14ac:dyDescent="0.25">
      <c r="A286" s="2" t="s">
        <v>645</v>
      </c>
      <c r="B286" s="3" t="s">
        <v>648</v>
      </c>
      <c r="C286" s="2" t="s">
        <v>649</v>
      </c>
      <c r="D286" s="4">
        <v>60</v>
      </c>
      <c r="E286" s="4"/>
      <c r="F286" s="5">
        <v>177153.36</v>
      </c>
      <c r="I286" s="11">
        <f t="shared" si="8"/>
        <v>60</v>
      </c>
      <c r="J286" t="str">
        <f t="shared" si="9"/>
        <v>DR</v>
      </c>
    </row>
    <row r="287" spans="1:10" x14ac:dyDescent="0.25">
      <c r="A287" s="2" t="s">
        <v>650</v>
      </c>
      <c r="B287" s="3" t="s">
        <v>651</v>
      </c>
      <c r="C287" s="2" t="s">
        <v>652</v>
      </c>
      <c r="D287" s="4">
        <v>20</v>
      </c>
      <c r="E287" s="4"/>
      <c r="F287" s="5">
        <v>177133.36</v>
      </c>
      <c r="I287" s="11">
        <f t="shared" si="8"/>
        <v>20</v>
      </c>
      <c r="J287" t="str">
        <f t="shared" si="9"/>
        <v>DR</v>
      </c>
    </row>
    <row r="288" spans="1:10" x14ac:dyDescent="0.25">
      <c r="A288" s="2" t="s">
        <v>650</v>
      </c>
      <c r="B288" s="3" t="s">
        <v>653</v>
      </c>
      <c r="C288" s="2" t="s">
        <v>654</v>
      </c>
      <c r="D288" s="4">
        <v>186.9</v>
      </c>
      <c r="E288" s="4"/>
      <c r="F288" s="5">
        <v>176946.46</v>
      </c>
      <c r="I288" s="11">
        <f t="shared" si="8"/>
        <v>186.9</v>
      </c>
      <c r="J288" t="str">
        <f t="shared" si="9"/>
        <v>DR</v>
      </c>
    </row>
    <row r="289" spans="1:10" x14ac:dyDescent="0.25">
      <c r="A289" s="2" t="s">
        <v>655</v>
      </c>
      <c r="B289" s="3" t="s">
        <v>656</v>
      </c>
      <c r="C289" s="2" t="s">
        <v>657</v>
      </c>
      <c r="D289" s="4">
        <v>30</v>
      </c>
      <c r="E289" s="4"/>
      <c r="F289" s="5">
        <v>176916.46</v>
      </c>
      <c r="I289" s="11">
        <f t="shared" si="8"/>
        <v>30</v>
      </c>
      <c r="J289" t="str">
        <f t="shared" si="9"/>
        <v>DR</v>
      </c>
    </row>
    <row r="290" spans="1:10" x14ac:dyDescent="0.25">
      <c r="A290" s="2" t="s">
        <v>658</v>
      </c>
      <c r="B290" s="3" t="s">
        <v>659</v>
      </c>
      <c r="C290" s="2"/>
      <c r="D290" s="4"/>
      <c r="E290" s="4">
        <v>20000</v>
      </c>
      <c r="F290" s="5">
        <v>196916.46</v>
      </c>
      <c r="I290" s="11">
        <f t="shared" si="8"/>
        <v>20000</v>
      </c>
      <c r="J290" t="str">
        <f t="shared" si="9"/>
        <v>CR</v>
      </c>
    </row>
    <row r="291" spans="1:10" x14ac:dyDescent="0.25">
      <c r="A291" s="2" t="s">
        <v>658</v>
      </c>
      <c r="B291" s="3" t="s">
        <v>660</v>
      </c>
      <c r="C291" s="2" t="s">
        <v>661</v>
      </c>
      <c r="D291" s="4">
        <v>15</v>
      </c>
      <c r="E291" s="4"/>
      <c r="F291" s="5">
        <v>196901.46</v>
      </c>
      <c r="I291" s="11">
        <f t="shared" si="8"/>
        <v>15</v>
      </c>
      <c r="J291" t="str">
        <f t="shared" si="9"/>
        <v>DR</v>
      </c>
    </row>
    <row r="292" spans="1:10" x14ac:dyDescent="0.25">
      <c r="A292" s="2" t="s">
        <v>658</v>
      </c>
      <c r="B292" s="3" t="s">
        <v>662</v>
      </c>
      <c r="C292" s="2" t="s">
        <v>663</v>
      </c>
      <c r="D292" s="4">
        <v>249</v>
      </c>
      <c r="E292" s="4"/>
      <c r="F292" s="5">
        <v>196652.46</v>
      </c>
      <c r="I292" s="11">
        <f t="shared" si="8"/>
        <v>249</v>
      </c>
      <c r="J292" t="str">
        <f t="shared" si="9"/>
        <v>DR</v>
      </c>
    </row>
    <row r="293" spans="1:10" x14ac:dyDescent="0.25">
      <c r="A293" s="2" t="s">
        <v>664</v>
      </c>
      <c r="B293" s="3" t="s">
        <v>665</v>
      </c>
      <c r="C293" s="2" t="s">
        <v>666</v>
      </c>
      <c r="D293" s="4">
        <v>65</v>
      </c>
      <c r="E293" s="4"/>
      <c r="F293" s="5">
        <v>196587.46</v>
      </c>
      <c r="I293" s="11">
        <f t="shared" si="8"/>
        <v>65</v>
      </c>
      <c r="J293" t="str">
        <f t="shared" si="9"/>
        <v>DR</v>
      </c>
    </row>
    <row r="294" spans="1:10" x14ac:dyDescent="0.25">
      <c r="A294" s="2" t="s">
        <v>667</v>
      </c>
      <c r="B294" s="3" t="s">
        <v>668</v>
      </c>
      <c r="C294" s="2" t="s">
        <v>669</v>
      </c>
      <c r="D294" s="4">
        <v>69</v>
      </c>
      <c r="E294" s="4"/>
      <c r="F294" s="5">
        <v>196518.46</v>
      </c>
      <c r="I294" s="11">
        <f t="shared" si="8"/>
        <v>69</v>
      </c>
      <c r="J294" t="str">
        <f t="shared" si="9"/>
        <v>DR</v>
      </c>
    </row>
    <row r="295" spans="1:10" x14ac:dyDescent="0.25">
      <c r="A295" s="2" t="s">
        <v>667</v>
      </c>
      <c r="B295" s="3" t="s">
        <v>670</v>
      </c>
      <c r="C295" s="2" t="s">
        <v>671</v>
      </c>
      <c r="D295" s="4">
        <v>15</v>
      </c>
      <c r="E295" s="4"/>
      <c r="F295" s="5">
        <v>196503.46</v>
      </c>
      <c r="I295" s="11">
        <f t="shared" si="8"/>
        <v>15</v>
      </c>
      <c r="J295" t="str">
        <f t="shared" si="9"/>
        <v>DR</v>
      </c>
    </row>
    <row r="296" spans="1:10" x14ac:dyDescent="0.25">
      <c r="A296" s="2" t="s">
        <v>667</v>
      </c>
      <c r="B296" s="3" t="s">
        <v>672</v>
      </c>
      <c r="C296" s="2" t="s">
        <v>673</v>
      </c>
      <c r="D296" s="4">
        <v>60</v>
      </c>
      <c r="E296" s="4"/>
      <c r="F296" s="5">
        <v>196443.46</v>
      </c>
      <c r="I296" s="11">
        <f t="shared" si="8"/>
        <v>60</v>
      </c>
      <c r="J296" t="str">
        <f t="shared" si="9"/>
        <v>DR</v>
      </c>
    </row>
    <row r="297" spans="1:10" x14ac:dyDescent="0.25">
      <c r="A297" s="2" t="s">
        <v>667</v>
      </c>
      <c r="B297" s="3" t="s">
        <v>674</v>
      </c>
      <c r="C297" s="2" t="s">
        <v>675</v>
      </c>
      <c r="D297" s="4">
        <v>925.86</v>
      </c>
      <c r="E297" s="4"/>
      <c r="F297" s="5">
        <v>195517.6</v>
      </c>
      <c r="I297" s="11">
        <f t="shared" si="8"/>
        <v>925.86</v>
      </c>
      <c r="J297" t="str">
        <f t="shared" si="9"/>
        <v>DR</v>
      </c>
    </row>
    <row r="298" spans="1:10" x14ac:dyDescent="0.25">
      <c r="A298" s="2" t="s">
        <v>667</v>
      </c>
      <c r="B298" s="3" t="s">
        <v>676</v>
      </c>
      <c r="C298" s="2" t="s">
        <v>677</v>
      </c>
      <c r="D298" s="4">
        <v>69</v>
      </c>
      <c r="E298" s="4"/>
      <c r="F298" s="5">
        <v>195448.6</v>
      </c>
      <c r="I298" s="11">
        <f t="shared" si="8"/>
        <v>69</v>
      </c>
      <c r="J298" t="str">
        <f t="shared" si="9"/>
        <v>DR</v>
      </c>
    </row>
    <row r="299" spans="1:10" x14ac:dyDescent="0.25">
      <c r="A299" s="2" t="s">
        <v>678</v>
      </c>
      <c r="B299" s="3" t="s">
        <v>679</v>
      </c>
      <c r="C299" s="2" t="s">
        <v>680</v>
      </c>
      <c r="D299" s="4">
        <v>5</v>
      </c>
      <c r="E299" s="4"/>
      <c r="F299" s="5">
        <v>195443.6</v>
      </c>
      <c r="I299" s="11">
        <f t="shared" si="8"/>
        <v>5</v>
      </c>
      <c r="J299" t="str">
        <f t="shared" si="9"/>
        <v>DR</v>
      </c>
    </row>
    <row r="300" spans="1:10" x14ac:dyDescent="0.25">
      <c r="A300" s="2" t="s">
        <v>681</v>
      </c>
      <c r="B300" s="3" t="s">
        <v>682</v>
      </c>
      <c r="C300" s="2" t="s">
        <v>683</v>
      </c>
      <c r="D300" s="4">
        <v>515</v>
      </c>
      <c r="E300" s="4"/>
      <c r="F300" s="5">
        <v>194928.6</v>
      </c>
      <c r="I300" s="11">
        <f t="shared" si="8"/>
        <v>515</v>
      </c>
      <c r="J300" t="str">
        <f t="shared" si="9"/>
        <v>DR</v>
      </c>
    </row>
    <row r="301" spans="1:10" x14ac:dyDescent="0.25">
      <c r="A301" s="2" t="s">
        <v>681</v>
      </c>
      <c r="B301" s="3" t="s">
        <v>684</v>
      </c>
      <c r="C301" s="2" t="s">
        <v>685</v>
      </c>
      <c r="D301" s="4"/>
      <c r="E301" s="4">
        <v>600</v>
      </c>
      <c r="F301" s="5">
        <v>195528.6</v>
      </c>
      <c r="I301" s="11">
        <f t="shared" si="8"/>
        <v>600</v>
      </c>
      <c r="J301" t="str">
        <f t="shared" si="9"/>
        <v>CR</v>
      </c>
    </row>
    <row r="302" spans="1:10" x14ac:dyDescent="0.25">
      <c r="A302" s="2" t="s">
        <v>686</v>
      </c>
      <c r="B302" s="3" t="s">
        <v>687</v>
      </c>
      <c r="C302" s="2" t="s">
        <v>688</v>
      </c>
      <c r="D302" s="4">
        <v>375</v>
      </c>
      <c r="E302" s="4"/>
      <c r="F302" s="5">
        <v>195153.6</v>
      </c>
      <c r="I302" s="11">
        <f t="shared" si="8"/>
        <v>375</v>
      </c>
      <c r="J302" t="str">
        <f t="shared" si="9"/>
        <v>DR</v>
      </c>
    </row>
    <row r="303" spans="1:10" x14ac:dyDescent="0.25">
      <c r="A303" s="2" t="s">
        <v>686</v>
      </c>
      <c r="B303" s="3" t="s">
        <v>689</v>
      </c>
      <c r="C303" s="2" t="s">
        <v>690</v>
      </c>
      <c r="D303" s="4">
        <v>60</v>
      </c>
      <c r="E303" s="4"/>
      <c r="F303" s="5">
        <v>195093.6</v>
      </c>
      <c r="I303" s="11">
        <f t="shared" si="8"/>
        <v>60</v>
      </c>
      <c r="J303" t="str">
        <f t="shared" si="9"/>
        <v>DR</v>
      </c>
    </row>
    <row r="304" spans="1:10" x14ac:dyDescent="0.25">
      <c r="A304" s="2" t="s">
        <v>686</v>
      </c>
      <c r="B304" s="3" t="s">
        <v>691</v>
      </c>
      <c r="C304" s="2" t="s">
        <v>692</v>
      </c>
      <c r="D304" s="4">
        <v>20</v>
      </c>
      <c r="E304" s="4"/>
      <c r="F304" s="5">
        <v>195073.6</v>
      </c>
      <c r="I304" s="11">
        <f t="shared" si="8"/>
        <v>20</v>
      </c>
      <c r="J304" t="str">
        <f t="shared" si="9"/>
        <v>DR</v>
      </c>
    </row>
    <row r="305" spans="1:10" x14ac:dyDescent="0.25">
      <c r="A305" s="2" t="s">
        <v>693</v>
      </c>
      <c r="B305" s="3" t="s">
        <v>694</v>
      </c>
      <c r="C305" s="2" t="s">
        <v>695</v>
      </c>
      <c r="D305" s="4">
        <v>30</v>
      </c>
      <c r="E305" s="4"/>
      <c r="F305" s="5">
        <v>195043.6</v>
      </c>
      <c r="I305" s="11">
        <f t="shared" si="8"/>
        <v>30</v>
      </c>
      <c r="J305" t="str">
        <f t="shared" si="9"/>
        <v>DR</v>
      </c>
    </row>
    <row r="306" spans="1:10" x14ac:dyDescent="0.25">
      <c r="A306" s="2" t="s">
        <v>693</v>
      </c>
      <c r="B306" s="3" t="s">
        <v>696</v>
      </c>
      <c r="C306" s="2" t="s">
        <v>697</v>
      </c>
      <c r="D306" s="4">
        <v>10000</v>
      </c>
      <c r="E306" s="4"/>
      <c r="F306" s="5">
        <v>185043.6</v>
      </c>
      <c r="I306" s="11">
        <f t="shared" si="8"/>
        <v>10000</v>
      </c>
      <c r="J306" t="str">
        <f t="shared" si="9"/>
        <v>DR</v>
      </c>
    </row>
    <row r="307" spans="1:10" x14ac:dyDescent="0.25">
      <c r="A307" s="2" t="s">
        <v>693</v>
      </c>
      <c r="B307" s="3" t="s">
        <v>698</v>
      </c>
      <c r="C307" s="2" t="s">
        <v>699</v>
      </c>
      <c r="D307" s="4">
        <v>470.82</v>
      </c>
      <c r="E307" s="4"/>
      <c r="F307" s="5">
        <v>184572.78</v>
      </c>
      <c r="I307" s="11">
        <f t="shared" si="8"/>
        <v>470.82</v>
      </c>
      <c r="J307" t="str">
        <f t="shared" si="9"/>
        <v>DR</v>
      </c>
    </row>
    <row r="308" spans="1:10" x14ac:dyDescent="0.25">
      <c r="A308" s="2" t="s">
        <v>693</v>
      </c>
      <c r="B308" s="3" t="s">
        <v>700</v>
      </c>
      <c r="C308" s="2" t="s">
        <v>701</v>
      </c>
      <c r="D308" s="4">
        <v>60</v>
      </c>
      <c r="E308" s="4"/>
      <c r="F308" s="5">
        <v>184512.78</v>
      </c>
      <c r="I308" s="11">
        <f t="shared" si="8"/>
        <v>60</v>
      </c>
      <c r="J308" t="str">
        <f t="shared" si="9"/>
        <v>DR</v>
      </c>
    </row>
    <row r="309" spans="1:10" x14ac:dyDescent="0.25">
      <c r="A309" s="2" t="s">
        <v>702</v>
      </c>
      <c r="B309" s="3" t="s">
        <v>703</v>
      </c>
      <c r="C309" s="2" t="s">
        <v>704</v>
      </c>
      <c r="D309" s="4">
        <v>30</v>
      </c>
      <c r="E309" s="4"/>
      <c r="F309" s="5">
        <v>184482.78</v>
      </c>
      <c r="I309" s="11">
        <f t="shared" si="8"/>
        <v>30</v>
      </c>
      <c r="J309" t="str">
        <f t="shared" si="9"/>
        <v>DR</v>
      </c>
    </row>
    <row r="310" spans="1:10" x14ac:dyDescent="0.25">
      <c r="A310" s="2" t="s">
        <v>705</v>
      </c>
      <c r="B310" s="3" t="s">
        <v>706</v>
      </c>
      <c r="C310" s="2" t="s">
        <v>707</v>
      </c>
      <c r="D310" s="4">
        <v>15</v>
      </c>
      <c r="E310" s="4"/>
      <c r="F310" s="5">
        <v>184467.78</v>
      </c>
      <c r="I310" s="11">
        <f t="shared" si="8"/>
        <v>15</v>
      </c>
      <c r="J310" t="str">
        <f t="shared" si="9"/>
        <v>DR</v>
      </c>
    </row>
    <row r="311" spans="1:10" x14ac:dyDescent="0.25">
      <c r="A311" s="2" t="s">
        <v>705</v>
      </c>
      <c r="B311" s="3" t="s">
        <v>708</v>
      </c>
      <c r="C311" s="2" t="s">
        <v>709</v>
      </c>
      <c r="D311" s="4">
        <v>65</v>
      </c>
      <c r="E311" s="4"/>
      <c r="F311" s="5">
        <v>184402.78</v>
      </c>
      <c r="I311" s="11">
        <f t="shared" si="8"/>
        <v>65</v>
      </c>
      <c r="J311" t="str">
        <f t="shared" si="9"/>
        <v>DR</v>
      </c>
    </row>
    <row r="312" spans="1:10" x14ac:dyDescent="0.25">
      <c r="A312" s="2" t="s">
        <v>705</v>
      </c>
      <c r="B312" s="3" t="s">
        <v>710</v>
      </c>
      <c r="C312" s="2" t="s">
        <v>711</v>
      </c>
      <c r="D312" s="4">
        <v>897.77</v>
      </c>
      <c r="E312" s="4"/>
      <c r="F312" s="5">
        <v>183505.01</v>
      </c>
      <c r="I312" s="11">
        <f t="shared" si="8"/>
        <v>897.77</v>
      </c>
      <c r="J312" t="str">
        <f t="shared" si="9"/>
        <v>DR</v>
      </c>
    </row>
    <row r="313" spans="1:10" x14ac:dyDescent="0.25">
      <c r="A313" s="2" t="s">
        <v>712</v>
      </c>
      <c r="B313" s="3" t="s">
        <v>713</v>
      </c>
      <c r="C313" s="2" t="s">
        <v>714</v>
      </c>
      <c r="D313" s="4">
        <v>15</v>
      </c>
      <c r="E313" s="4"/>
      <c r="F313" s="5">
        <v>183490.01</v>
      </c>
      <c r="I313" s="11">
        <f t="shared" si="8"/>
        <v>15</v>
      </c>
      <c r="J313" t="str">
        <f t="shared" si="9"/>
        <v>DR</v>
      </c>
    </row>
    <row r="314" spans="1:10" x14ac:dyDescent="0.25">
      <c r="A314" s="2" t="s">
        <v>712</v>
      </c>
      <c r="B314" s="3" t="s">
        <v>715</v>
      </c>
      <c r="C314" s="2" t="s">
        <v>716</v>
      </c>
      <c r="D314" s="4">
        <v>65</v>
      </c>
      <c r="E314" s="4"/>
      <c r="F314" s="5">
        <v>183425.01</v>
      </c>
      <c r="I314" s="11">
        <f t="shared" si="8"/>
        <v>65</v>
      </c>
      <c r="J314" t="str">
        <f t="shared" si="9"/>
        <v>DR</v>
      </c>
    </row>
    <row r="315" spans="1:10" x14ac:dyDescent="0.25">
      <c r="A315" s="2" t="s">
        <v>712</v>
      </c>
      <c r="B315" s="3" t="s">
        <v>717</v>
      </c>
      <c r="C315" s="2" t="s">
        <v>718</v>
      </c>
      <c r="D315" s="4">
        <v>10</v>
      </c>
      <c r="E315" s="4"/>
      <c r="F315" s="5">
        <v>183415.01</v>
      </c>
      <c r="I315" s="11">
        <f t="shared" si="8"/>
        <v>10</v>
      </c>
      <c r="J315" t="str">
        <f t="shared" si="9"/>
        <v>DR</v>
      </c>
    </row>
    <row r="316" spans="1:10" x14ac:dyDescent="0.25">
      <c r="A316" s="2" t="s">
        <v>712</v>
      </c>
      <c r="B316" s="3" t="s">
        <v>719</v>
      </c>
      <c r="C316" s="2" t="s">
        <v>720</v>
      </c>
      <c r="D316" s="4">
        <v>54</v>
      </c>
      <c r="E316" s="4"/>
      <c r="F316" s="5">
        <v>183361.01</v>
      </c>
      <c r="I316" s="11">
        <f t="shared" si="8"/>
        <v>54</v>
      </c>
      <c r="J316" t="str">
        <f t="shared" si="9"/>
        <v>DR</v>
      </c>
    </row>
    <row r="317" spans="1:10" x14ac:dyDescent="0.25">
      <c r="A317" s="2" t="s">
        <v>721</v>
      </c>
      <c r="B317" s="3" t="s">
        <v>722</v>
      </c>
      <c r="C317" s="2" t="s">
        <v>723</v>
      </c>
      <c r="D317" s="4">
        <v>50</v>
      </c>
      <c r="E317" s="4"/>
      <c r="F317" s="5">
        <v>183311.01</v>
      </c>
      <c r="I317" s="11">
        <f t="shared" si="8"/>
        <v>50</v>
      </c>
      <c r="J317" t="str">
        <f t="shared" si="9"/>
        <v>DR</v>
      </c>
    </row>
    <row r="318" spans="1:10" x14ac:dyDescent="0.25">
      <c r="A318" s="2" t="s">
        <v>721</v>
      </c>
      <c r="B318" s="3" t="s">
        <v>724</v>
      </c>
      <c r="C318" s="2" t="s">
        <v>725</v>
      </c>
      <c r="D318" s="4">
        <v>40</v>
      </c>
      <c r="E318" s="4"/>
      <c r="F318" s="5">
        <v>183271.01</v>
      </c>
      <c r="I318" s="11">
        <f t="shared" si="8"/>
        <v>40</v>
      </c>
      <c r="J318" t="str">
        <f t="shared" si="9"/>
        <v>DR</v>
      </c>
    </row>
    <row r="319" spans="1:10" x14ac:dyDescent="0.25">
      <c r="A319" s="2" t="s">
        <v>721</v>
      </c>
      <c r="B319" s="3" t="s">
        <v>726</v>
      </c>
      <c r="C319" s="2" t="s">
        <v>727</v>
      </c>
      <c r="D319" s="4">
        <v>20</v>
      </c>
      <c r="E319" s="4"/>
      <c r="F319" s="5">
        <v>183251.01</v>
      </c>
      <c r="I319" s="11">
        <f t="shared" si="8"/>
        <v>20</v>
      </c>
      <c r="J319" t="str">
        <f t="shared" si="9"/>
        <v>DR</v>
      </c>
    </row>
    <row r="320" spans="1:10" x14ac:dyDescent="0.25">
      <c r="A320" s="2" t="s">
        <v>721</v>
      </c>
      <c r="B320" s="3" t="s">
        <v>728</v>
      </c>
      <c r="C320" s="2" t="s">
        <v>729</v>
      </c>
      <c r="D320" s="4">
        <v>150</v>
      </c>
      <c r="E320" s="4"/>
      <c r="F320" s="5">
        <v>183101.01</v>
      </c>
      <c r="I320" s="11">
        <f t="shared" si="8"/>
        <v>150</v>
      </c>
      <c r="J320" t="str">
        <f t="shared" si="9"/>
        <v>DR</v>
      </c>
    </row>
    <row r="321" spans="1:10" x14ac:dyDescent="0.25">
      <c r="A321" s="2" t="s">
        <v>721</v>
      </c>
      <c r="B321" s="3" t="s">
        <v>730</v>
      </c>
      <c r="C321" s="2" t="s">
        <v>731</v>
      </c>
      <c r="D321" s="4">
        <v>20</v>
      </c>
      <c r="E321" s="4"/>
      <c r="F321" s="5">
        <v>183081.01</v>
      </c>
      <c r="I321" s="11">
        <f t="shared" si="8"/>
        <v>20</v>
      </c>
      <c r="J321" t="str">
        <f t="shared" si="9"/>
        <v>DR</v>
      </c>
    </row>
    <row r="322" spans="1:10" x14ac:dyDescent="0.25">
      <c r="A322" s="2" t="s">
        <v>721</v>
      </c>
      <c r="B322" s="3" t="s">
        <v>732</v>
      </c>
      <c r="C322" s="2" t="s">
        <v>733</v>
      </c>
      <c r="D322" s="4">
        <v>140</v>
      </c>
      <c r="E322" s="4"/>
      <c r="F322" s="5">
        <v>182941.01</v>
      </c>
      <c r="I322" s="11">
        <f t="shared" si="8"/>
        <v>140</v>
      </c>
      <c r="J322" t="str">
        <f t="shared" si="9"/>
        <v>DR</v>
      </c>
    </row>
    <row r="323" spans="1:10" x14ac:dyDescent="0.25">
      <c r="A323" s="2" t="s">
        <v>734</v>
      </c>
      <c r="B323" s="3" t="s">
        <v>735</v>
      </c>
      <c r="C323" s="2" t="s">
        <v>736</v>
      </c>
      <c r="D323" s="4">
        <v>50</v>
      </c>
      <c r="E323" s="4"/>
      <c r="F323" s="5">
        <v>182891.01</v>
      </c>
      <c r="I323" s="11">
        <f t="shared" si="8"/>
        <v>50</v>
      </c>
      <c r="J323" t="str">
        <f t="shared" si="9"/>
        <v>DR</v>
      </c>
    </row>
    <row r="324" spans="1:10" x14ac:dyDescent="0.25">
      <c r="A324" s="2" t="s">
        <v>734</v>
      </c>
      <c r="B324" s="3" t="s">
        <v>737</v>
      </c>
      <c r="C324" s="2" t="s">
        <v>738</v>
      </c>
      <c r="D324" s="4">
        <v>50</v>
      </c>
      <c r="E324" s="4"/>
      <c r="F324" s="5">
        <v>182841.01</v>
      </c>
      <c r="I324" s="11">
        <f t="shared" ref="I324:I387" si="10">+D324+E324</f>
        <v>50</v>
      </c>
      <c r="J324" t="str">
        <f t="shared" ref="J324:J387" si="11">IF(E324=0,"DR","CR")</f>
        <v>DR</v>
      </c>
    </row>
    <row r="325" spans="1:10" x14ac:dyDescent="0.25">
      <c r="A325" s="2" t="s">
        <v>734</v>
      </c>
      <c r="B325" s="3" t="s">
        <v>739</v>
      </c>
      <c r="C325" s="2" t="s">
        <v>740</v>
      </c>
      <c r="D325" s="4">
        <v>238.35</v>
      </c>
      <c r="E325" s="4"/>
      <c r="F325" s="5">
        <v>182602.66</v>
      </c>
      <c r="I325" s="11">
        <f t="shared" si="10"/>
        <v>238.35</v>
      </c>
      <c r="J325" t="str">
        <f t="shared" si="11"/>
        <v>DR</v>
      </c>
    </row>
    <row r="326" spans="1:10" x14ac:dyDescent="0.25">
      <c r="A326" s="2" t="s">
        <v>734</v>
      </c>
      <c r="B326" s="3" t="s">
        <v>741</v>
      </c>
      <c r="C326" s="2" t="s">
        <v>742</v>
      </c>
      <c r="D326" s="4">
        <v>40</v>
      </c>
      <c r="E326" s="4"/>
      <c r="F326" s="5">
        <v>182562.66</v>
      </c>
      <c r="I326" s="11">
        <f t="shared" si="10"/>
        <v>40</v>
      </c>
      <c r="J326" t="str">
        <f t="shared" si="11"/>
        <v>DR</v>
      </c>
    </row>
    <row r="327" spans="1:10" x14ac:dyDescent="0.25">
      <c r="A327" s="2" t="s">
        <v>743</v>
      </c>
      <c r="B327" s="3" t="s">
        <v>744</v>
      </c>
      <c r="C327" s="2" t="s">
        <v>745</v>
      </c>
      <c r="D327" s="4">
        <v>15</v>
      </c>
      <c r="E327" s="4"/>
      <c r="F327" s="5">
        <v>182547.66</v>
      </c>
      <c r="I327" s="11">
        <f t="shared" si="10"/>
        <v>15</v>
      </c>
      <c r="J327" t="str">
        <f t="shared" si="11"/>
        <v>DR</v>
      </c>
    </row>
    <row r="328" spans="1:10" x14ac:dyDescent="0.25">
      <c r="A328" s="2" t="s">
        <v>746</v>
      </c>
      <c r="B328" s="3" t="s">
        <v>747</v>
      </c>
      <c r="C328" s="2" t="s">
        <v>748</v>
      </c>
      <c r="D328" s="4">
        <v>15</v>
      </c>
      <c r="E328" s="4"/>
      <c r="F328" s="5">
        <v>182532.66</v>
      </c>
      <c r="I328" s="11">
        <f t="shared" si="10"/>
        <v>15</v>
      </c>
      <c r="J328" t="str">
        <f t="shared" si="11"/>
        <v>DR</v>
      </c>
    </row>
    <row r="329" spans="1:10" x14ac:dyDescent="0.25">
      <c r="A329" s="2" t="s">
        <v>746</v>
      </c>
      <c r="B329" s="3" t="s">
        <v>749</v>
      </c>
      <c r="C329" s="2" t="s">
        <v>750</v>
      </c>
      <c r="D329" s="4">
        <v>40</v>
      </c>
      <c r="E329" s="4"/>
      <c r="F329" s="5">
        <v>182492.66</v>
      </c>
      <c r="I329" s="11">
        <f t="shared" si="10"/>
        <v>40</v>
      </c>
      <c r="J329" t="str">
        <f t="shared" si="11"/>
        <v>DR</v>
      </c>
    </row>
    <row r="330" spans="1:10" x14ac:dyDescent="0.25">
      <c r="A330" s="2" t="s">
        <v>751</v>
      </c>
      <c r="B330" s="3" t="s">
        <v>752</v>
      </c>
      <c r="C330" s="2" t="s">
        <v>753</v>
      </c>
      <c r="D330" s="4">
        <v>15</v>
      </c>
      <c r="E330" s="4"/>
      <c r="F330" s="5">
        <v>182477.66</v>
      </c>
      <c r="I330" s="11">
        <f t="shared" si="10"/>
        <v>15</v>
      </c>
      <c r="J330" t="str">
        <f t="shared" si="11"/>
        <v>DR</v>
      </c>
    </row>
    <row r="331" spans="1:10" x14ac:dyDescent="0.25">
      <c r="A331" s="2" t="s">
        <v>751</v>
      </c>
      <c r="B331" s="3" t="s">
        <v>754</v>
      </c>
      <c r="C331" s="2" t="s">
        <v>755</v>
      </c>
      <c r="D331" s="4">
        <v>65</v>
      </c>
      <c r="E331" s="4"/>
      <c r="F331" s="5">
        <v>182412.66</v>
      </c>
      <c r="I331" s="11">
        <f t="shared" si="10"/>
        <v>65</v>
      </c>
      <c r="J331" t="str">
        <f t="shared" si="11"/>
        <v>DR</v>
      </c>
    </row>
    <row r="332" spans="1:10" x14ac:dyDescent="0.25">
      <c r="A332" s="2" t="s">
        <v>751</v>
      </c>
      <c r="B332" s="3" t="s">
        <v>756</v>
      </c>
      <c r="C332" s="2" t="s">
        <v>757</v>
      </c>
      <c r="D332" s="4">
        <v>20</v>
      </c>
      <c r="E332" s="4"/>
      <c r="F332" s="5">
        <v>182392.66</v>
      </c>
      <c r="I332" s="11">
        <f t="shared" si="10"/>
        <v>20</v>
      </c>
      <c r="J332" t="str">
        <f t="shared" si="11"/>
        <v>DR</v>
      </c>
    </row>
    <row r="333" spans="1:10" x14ac:dyDescent="0.25">
      <c r="A333" s="2" t="s">
        <v>758</v>
      </c>
      <c r="B333" s="3" t="s">
        <v>759</v>
      </c>
      <c r="C333" s="2" t="s">
        <v>760</v>
      </c>
      <c r="D333" s="4">
        <v>40</v>
      </c>
      <c r="E333" s="4"/>
      <c r="F333" s="5">
        <v>182352.66</v>
      </c>
      <c r="I333" s="11">
        <f t="shared" si="10"/>
        <v>40</v>
      </c>
      <c r="J333" t="str">
        <f t="shared" si="11"/>
        <v>DR</v>
      </c>
    </row>
    <row r="334" spans="1:10" x14ac:dyDescent="0.25">
      <c r="A334" s="2" t="s">
        <v>758</v>
      </c>
      <c r="B334" s="3" t="s">
        <v>761</v>
      </c>
      <c r="C334" s="2" t="s">
        <v>762</v>
      </c>
      <c r="D334" s="4">
        <v>55</v>
      </c>
      <c r="E334" s="4"/>
      <c r="F334" s="5">
        <v>182297.66</v>
      </c>
      <c r="I334" s="11">
        <f t="shared" si="10"/>
        <v>55</v>
      </c>
      <c r="J334" t="str">
        <f t="shared" si="11"/>
        <v>DR</v>
      </c>
    </row>
    <row r="335" spans="1:10" x14ac:dyDescent="0.25">
      <c r="A335" s="2" t="s">
        <v>758</v>
      </c>
      <c r="B335" s="3" t="s">
        <v>763</v>
      </c>
      <c r="C335" s="2" t="s">
        <v>764</v>
      </c>
      <c r="D335" s="4">
        <v>104</v>
      </c>
      <c r="E335" s="4"/>
      <c r="F335" s="5">
        <v>182193.66</v>
      </c>
      <c r="I335" s="11">
        <f t="shared" si="10"/>
        <v>104</v>
      </c>
      <c r="J335" t="str">
        <f t="shared" si="11"/>
        <v>DR</v>
      </c>
    </row>
    <row r="336" spans="1:10" x14ac:dyDescent="0.25">
      <c r="A336" s="2" t="s">
        <v>758</v>
      </c>
      <c r="B336" s="3" t="s">
        <v>765</v>
      </c>
      <c r="C336" s="2" t="s">
        <v>766</v>
      </c>
      <c r="D336" s="4">
        <v>30</v>
      </c>
      <c r="E336" s="4"/>
      <c r="F336" s="5">
        <v>182163.66</v>
      </c>
      <c r="I336" s="11">
        <f t="shared" si="10"/>
        <v>30</v>
      </c>
      <c r="J336" t="str">
        <f t="shared" si="11"/>
        <v>DR</v>
      </c>
    </row>
    <row r="337" spans="1:10" x14ac:dyDescent="0.25">
      <c r="A337" s="2" t="s">
        <v>758</v>
      </c>
      <c r="B337" s="3" t="s">
        <v>767</v>
      </c>
      <c r="C337" s="2" t="s">
        <v>768</v>
      </c>
      <c r="D337" s="4">
        <v>4000</v>
      </c>
      <c r="E337" s="4"/>
      <c r="F337" s="5">
        <v>178163.66</v>
      </c>
      <c r="I337" s="11">
        <f t="shared" si="10"/>
        <v>4000</v>
      </c>
      <c r="J337" t="str">
        <f t="shared" si="11"/>
        <v>DR</v>
      </c>
    </row>
    <row r="338" spans="1:10" x14ac:dyDescent="0.25">
      <c r="A338" s="2" t="s">
        <v>758</v>
      </c>
      <c r="B338" s="3" t="s">
        <v>769</v>
      </c>
      <c r="C338" s="2" t="s">
        <v>770</v>
      </c>
      <c r="D338" s="4">
        <v>4000</v>
      </c>
      <c r="E338" s="4"/>
      <c r="F338" s="5">
        <v>174163.66</v>
      </c>
      <c r="I338" s="11">
        <f t="shared" si="10"/>
        <v>4000</v>
      </c>
      <c r="J338" t="str">
        <f t="shared" si="11"/>
        <v>DR</v>
      </c>
    </row>
    <row r="339" spans="1:10" x14ac:dyDescent="0.25">
      <c r="A339" s="2" t="s">
        <v>771</v>
      </c>
      <c r="B339" s="3" t="s">
        <v>772</v>
      </c>
      <c r="C339" s="2" t="s">
        <v>773</v>
      </c>
      <c r="D339" s="4">
        <v>30</v>
      </c>
      <c r="E339" s="4"/>
      <c r="F339" s="5">
        <v>174133.66</v>
      </c>
      <c r="I339" s="11">
        <f t="shared" si="10"/>
        <v>30</v>
      </c>
      <c r="J339" t="str">
        <f t="shared" si="11"/>
        <v>DR</v>
      </c>
    </row>
    <row r="340" spans="1:10" x14ac:dyDescent="0.25">
      <c r="A340" s="2" t="s">
        <v>771</v>
      </c>
      <c r="B340" s="3" t="s">
        <v>774</v>
      </c>
      <c r="C340" s="2" t="s">
        <v>775</v>
      </c>
      <c r="D340" s="4">
        <v>150</v>
      </c>
      <c r="E340" s="4"/>
      <c r="F340" s="5">
        <v>173983.66</v>
      </c>
      <c r="I340" s="11">
        <f t="shared" si="10"/>
        <v>150</v>
      </c>
      <c r="J340" t="str">
        <f t="shared" si="11"/>
        <v>DR</v>
      </c>
    </row>
    <row r="341" spans="1:10" x14ac:dyDescent="0.25">
      <c r="A341" s="2" t="s">
        <v>771</v>
      </c>
      <c r="B341" s="3" t="s">
        <v>776</v>
      </c>
      <c r="C341" s="2" t="s">
        <v>777</v>
      </c>
      <c r="D341" s="4">
        <v>30</v>
      </c>
      <c r="E341" s="4"/>
      <c r="F341" s="5">
        <v>173953.66</v>
      </c>
      <c r="I341" s="11">
        <f t="shared" si="10"/>
        <v>30</v>
      </c>
      <c r="J341" t="str">
        <f t="shared" si="11"/>
        <v>DR</v>
      </c>
    </row>
    <row r="342" spans="1:10" x14ac:dyDescent="0.25">
      <c r="A342" s="2" t="s">
        <v>771</v>
      </c>
      <c r="B342" s="3" t="s">
        <v>778</v>
      </c>
      <c r="C342" s="2" t="s">
        <v>779</v>
      </c>
      <c r="D342" s="4">
        <v>930</v>
      </c>
      <c r="E342" s="4"/>
      <c r="F342" s="5">
        <v>173023.66</v>
      </c>
      <c r="I342" s="11">
        <f t="shared" si="10"/>
        <v>930</v>
      </c>
      <c r="J342" t="str">
        <f t="shared" si="11"/>
        <v>DR</v>
      </c>
    </row>
    <row r="343" spans="1:10" x14ac:dyDescent="0.25">
      <c r="A343" s="2" t="s">
        <v>771</v>
      </c>
      <c r="B343" s="3" t="s">
        <v>780</v>
      </c>
      <c r="C343" s="2" t="s">
        <v>781</v>
      </c>
      <c r="D343" s="4">
        <v>6090</v>
      </c>
      <c r="E343" s="4"/>
      <c r="F343" s="5">
        <v>166933.66</v>
      </c>
      <c r="I343" s="11">
        <f t="shared" si="10"/>
        <v>6090</v>
      </c>
      <c r="J343" t="str">
        <f t="shared" si="11"/>
        <v>DR</v>
      </c>
    </row>
    <row r="344" spans="1:10" x14ac:dyDescent="0.25">
      <c r="A344" s="2" t="s">
        <v>782</v>
      </c>
      <c r="B344" s="3" t="s">
        <v>783</v>
      </c>
      <c r="C344" s="2" t="s">
        <v>784</v>
      </c>
      <c r="D344" s="4">
        <v>35</v>
      </c>
      <c r="E344" s="4"/>
      <c r="F344" s="5">
        <v>166898.66</v>
      </c>
      <c r="I344" s="11">
        <f t="shared" si="10"/>
        <v>35</v>
      </c>
      <c r="J344" t="str">
        <f t="shared" si="11"/>
        <v>DR</v>
      </c>
    </row>
    <row r="345" spans="1:10" x14ac:dyDescent="0.25">
      <c r="A345" s="2" t="s">
        <v>782</v>
      </c>
      <c r="B345" s="3" t="s">
        <v>785</v>
      </c>
      <c r="C345" s="2" t="s">
        <v>786</v>
      </c>
      <c r="D345" s="4">
        <v>50</v>
      </c>
      <c r="E345" s="4"/>
      <c r="F345" s="5">
        <v>166848.66</v>
      </c>
      <c r="I345" s="11">
        <f t="shared" si="10"/>
        <v>50</v>
      </c>
      <c r="J345" t="str">
        <f t="shared" si="11"/>
        <v>DR</v>
      </c>
    </row>
    <row r="346" spans="1:10" x14ac:dyDescent="0.25">
      <c r="A346" s="2" t="s">
        <v>782</v>
      </c>
      <c r="B346" s="3" t="s">
        <v>787</v>
      </c>
      <c r="C346" s="2" t="s">
        <v>788</v>
      </c>
      <c r="D346" s="4">
        <v>50</v>
      </c>
      <c r="E346" s="4"/>
      <c r="F346" s="5">
        <v>166798.66</v>
      </c>
      <c r="I346" s="11">
        <f t="shared" si="10"/>
        <v>50</v>
      </c>
      <c r="J346" t="str">
        <f t="shared" si="11"/>
        <v>DR</v>
      </c>
    </row>
    <row r="347" spans="1:10" x14ac:dyDescent="0.25">
      <c r="A347" s="2" t="s">
        <v>782</v>
      </c>
      <c r="B347" s="3" t="s">
        <v>789</v>
      </c>
      <c r="C347" s="2" t="s">
        <v>790</v>
      </c>
      <c r="D347" s="4">
        <v>20</v>
      </c>
      <c r="E347" s="4"/>
      <c r="F347" s="5">
        <v>166778.66</v>
      </c>
      <c r="I347" s="11">
        <f t="shared" si="10"/>
        <v>20</v>
      </c>
      <c r="J347" t="str">
        <f t="shared" si="11"/>
        <v>DR</v>
      </c>
    </row>
    <row r="348" spans="1:10" x14ac:dyDescent="0.25">
      <c r="A348" s="2" t="s">
        <v>782</v>
      </c>
      <c r="B348" s="3" t="s">
        <v>791</v>
      </c>
      <c r="C348" s="2" t="s">
        <v>792</v>
      </c>
      <c r="D348" s="4">
        <v>25</v>
      </c>
      <c r="E348" s="4"/>
      <c r="F348" s="5">
        <v>166753.66</v>
      </c>
      <c r="I348" s="11">
        <f t="shared" si="10"/>
        <v>25</v>
      </c>
      <c r="J348" t="str">
        <f t="shared" si="11"/>
        <v>DR</v>
      </c>
    </row>
    <row r="349" spans="1:10" x14ac:dyDescent="0.25">
      <c r="A349" s="2" t="s">
        <v>782</v>
      </c>
      <c r="B349" s="3" t="s">
        <v>793</v>
      </c>
      <c r="C349" s="2" t="s">
        <v>794</v>
      </c>
      <c r="D349" s="4">
        <v>30</v>
      </c>
      <c r="E349" s="4"/>
      <c r="F349" s="5">
        <v>166723.66</v>
      </c>
      <c r="I349" s="11">
        <f t="shared" si="10"/>
        <v>30</v>
      </c>
      <c r="J349" t="str">
        <f t="shared" si="11"/>
        <v>DR</v>
      </c>
    </row>
    <row r="350" spans="1:10" x14ac:dyDescent="0.25">
      <c r="A350" s="2" t="s">
        <v>795</v>
      </c>
      <c r="B350" s="3" t="s">
        <v>796</v>
      </c>
      <c r="C350" s="2" t="s">
        <v>797</v>
      </c>
      <c r="D350" s="4">
        <v>918.81</v>
      </c>
      <c r="E350" s="4"/>
      <c r="F350" s="5">
        <v>165804.85</v>
      </c>
      <c r="I350" s="11">
        <f t="shared" si="10"/>
        <v>918.81</v>
      </c>
      <c r="J350" t="str">
        <f t="shared" si="11"/>
        <v>DR</v>
      </c>
    </row>
    <row r="351" spans="1:10" x14ac:dyDescent="0.25">
      <c r="A351" s="2" t="s">
        <v>798</v>
      </c>
      <c r="B351" s="3" t="s">
        <v>799</v>
      </c>
      <c r="C351" s="2" t="s">
        <v>800</v>
      </c>
      <c r="D351" s="4">
        <v>15</v>
      </c>
      <c r="E351" s="4"/>
      <c r="F351" s="5">
        <v>165789.85</v>
      </c>
      <c r="I351" s="11">
        <f t="shared" si="10"/>
        <v>15</v>
      </c>
      <c r="J351" t="str">
        <f t="shared" si="11"/>
        <v>DR</v>
      </c>
    </row>
    <row r="352" spans="1:10" x14ac:dyDescent="0.25">
      <c r="A352" s="2" t="s">
        <v>798</v>
      </c>
      <c r="B352" s="3" t="s">
        <v>801</v>
      </c>
      <c r="C352" s="2" t="s">
        <v>802</v>
      </c>
      <c r="D352" s="4">
        <v>705</v>
      </c>
      <c r="E352" s="4"/>
      <c r="F352" s="5">
        <v>165084.85</v>
      </c>
      <c r="I352" s="11">
        <f t="shared" si="10"/>
        <v>705</v>
      </c>
      <c r="J352" t="str">
        <f t="shared" si="11"/>
        <v>DR</v>
      </c>
    </row>
    <row r="353" spans="1:10" x14ac:dyDescent="0.25">
      <c r="A353" s="2" t="s">
        <v>798</v>
      </c>
      <c r="B353" s="3" t="s">
        <v>803</v>
      </c>
      <c r="C353" s="2" t="s">
        <v>804</v>
      </c>
      <c r="D353" s="4">
        <v>65</v>
      </c>
      <c r="E353" s="4"/>
      <c r="F353" s="5">
        <v>165019.85</v>
      </c>
      <c r="I353" s="11">
        <f t="shared" si="10"/>
        <v>65</v>
      </c>
      <c r="J353" t="str">
        <f t="shared" si="11"/>
        <v>DR</v>
      </c>
    </row>
    <row r="354" spans="1:10" x14ac:dyDescent="0.25">
      <c r="A354" s="2" t="s">
        <v>805</v>
      </c>
      <c r="B354" s="3" t="s">
        <v>806</v>
      </c>
      <c r="C354" s="2" t="s">
        <v>807</v>
      </c>
      <c r="D354" s="4">
        <v>20</v>
      </c>
      <c r="E354" s="4"/>
      <c r="F354" s="5">
        <v>164999.85</v>
      </c>
      <c r="I354" s="11">
        <f t="shared" si="10"/>
        <v>20</v>
      </c>
      <c r="J354" t="str">
        <f t="shared" si="11"/>
        <v>DR</v>
      </c>
    </row>
    <row r="355" spans="1:10" x14ac:dyDescent="0.25">
      <c r="A355" s="2" t="s">
        <v>808</v>
      </c>
      <c r="B355" s="3" t="s">
        <v>809</v>
      </c>
      <c r="C355" s="2" t="s">
        <v>810</v>
      </c>
      <c r="D355" s="4">
        <v>40</v>
      </c>
      <c r="E355" s="4"/>
      <c r="F355" s="5">
        <v>164959.85</v>
      </c>
      <c r="I355" s="11">
        <f t="shared" si="10"/>
        <v>40</v>
      </c>
      <c r="J355" t="str">
        <f t="shared" si="11"/>
        <v>DR</v>
      </c>
    </row>
    <row r="356" spans="1:10" x14ac:dyDescent="0.25">
      <c r="A356" s="2" t="s">
        <v>808</v>
      </c>
      <c r="B356" s="3" t="s">
        <v>811</v>
      </c>
      <c r="C356" s="2" t="s">
        <v>812</v>
      </c>
      <c r="D356" s="4">
        <v>933.14</v>
      </c>
      <c r="E356" s="4"/>
      <c r="F356" s="5">
        <v>164026.71</v>
      </c>
      <c r="I356" s="11">
        <f t="shared" si="10"/>
        <v>933.14</v>
      </c>
      <c r="J356" t="str">
        <f t="shared" si="11"/>
        <v>DR</v>
      </c>
    </row>
    <row r="357" spans="1:10" x14ac:dyDescent="0.25">
      <c r="A357" s="2" t="s">
        <v>808</v>
      </c>
      <c r="B357" s="3" t="s">
        <v>813</v>
      </c>
      <c r="C357" s="2" t="s">
        <v>814</v>
      </c>
      <c r="D357" s="4">
        <v>80</v>
      </c>
      <c r="E357" s="4"/>
      <c r="F357" s="5">
        <v>163946.71</v>
      </c>
      <c r="I357" s="11">
        <f t="shared" si="10"/>
        <v>80</v>
      </c>
      <c r="J357" t="str">
        <f t="shared" si="11"/>
        <v>DR</v>
      </c>
    </row>
    <row r="358" spans="1:10" x14ac:dyDescent="0.25">
      <c r="A358" s="2" t="s">
        <v>815</v>
      </c>
      <c r="B358" s="3" t="s">
        <v>816</v>
      </c>
      <c r="C358" s="2" t="s">
        <v>817</v>
      </c>
      <c r="D358" s="4">
        <v>40</v>
      </c>
      <c r="E358" s="4"/>
      <c r="F358" s="5">
        <v>163906.71</v>
      </c>
      <c r="I358" s="11">
        <f t="shared" si="10"/>
        <v>40</v>
      </c>
      <c r="J358" t="str">
        <f t="shared" si="11"/>
        <v>DR</v>
      </c>
    </row>
    <row r="359" spans="1:10" x14ac:dyDescent="0.25">
      <c r="A359" s="2" t="s">
        <v>815</v>
      </c>
      <c r="B359" s="3" t="s">
        <v>818</v>
      </c>
      <c r="C359" s="2" t="s">
        <v>819</v>
      </c>
      <c r="D359" s="4">
        <v>15</v>
      </c>
      <c r="E359" s="4"/>
      <c r="F359" s="5">
        <v>163891.71</v>
      </c>
      <c r="I359" s="11">
        <f t="shared" si="10"/>
        <v>15</v>
      </c>
      <c r="J359" t="str">
        <f t="shared" si="11"/>
        <v>DR</v>
      </c>
    </row>
    <row r="360" spans="1:10" x14ac:dyDescent="0.25">
      <c r="A360" s="2" t="s">
        <v>815</v>
      </c>
      <c r="B360" s="3" t="s">
        <v>820</v>
      </c>
      <c r="C360" s="2" t="s">
        <v>821</v>
      </c>
      <c r="D360" s="4">
        <v>104</v>
      </c>
      <c r="E360" s="4"/>
      <c r="F360" s="5">
        <v>163787.71</v>
      </c>
      <c r="I360" s="11">
        <f t="shared" si="10"/>
        <v>104</v>
      </c>
      <c r="J360" t="str">
        <f t="shared" si="11"/>
        <v>DR</v>
      </c>
    </row>
    <row r="361" spans="1:10" x14ac:dyDescent="0.25">
      <c r="A361" s="2" t="s">
        <v>822</v>
      </c>
      <c r="B361" s="3" t="s">
        <v>823</v>
      </c>
      <c r="C361" s="2" t="s">
        <v>824</v>
      </c>
      <c r="D361" s="4">
        <v>30</v>
      </c>
      <c r="E361" s="4"/>
      <c r="F361" s="5">
        <v>163757.71</v>
      </c>
      <c r="I361" s="11">
        <f t="shared" si="10"/>
        <v>30</v>
      </c>
      <c r="J361" t="str">
        <f t="shared" si="11"/>
        <v>DR</v>
      </c>
    </row>
    <row r="362" spans="1:10" x14ac:dyDescent="0.25">
      <c r="A362" s="2" t="s">
        <v>822</v>
      </c>
      <c r="B362" s="3" t="s">
        <v>825</v>
      </c>
      <c r="C362" s="2"/>
      <c r="D362" s="4">
        <v>0.24</v>
      </c>
      <c r="E362" s="4"/>
      <c r="F362" s="5">
        <v>163757.47</v>
      </c>
      <c r="I362" s="11">
        <f t="shared" si="10"/>
        <v>0.24</v>
      </c>
      <c r="J362" t="str">
        <f t="shared" si="11"/>
        <v>DR</v>
      </c>
    </row>
    <row r="363" spans="1:10" x14ac:dyDescent="0.25">
      <c r="A363" s="2" t="s">
        <v>822</v>
      </c>
      <c r="B363" s="3" t="s">
        <v>826</v>
      </c>
      <c r="C363" s="2" t="s">
        <v>827</v>
      </c>
      <c r="D363" s="4">
        <v>80</v>
      </c>
      <c r="E363" s="4"/>
      <c r="F363" s="5">
        <v>163677.47</v>
      </c>
      <c r="I363" s="11">
        <f t="shared" si="10"/>
        <v>80</v>
      </c>
      <c r="J363" t="str">
        <f t="shared" si="11"/>
        <v>DR</v>
      </c>
    </row>
    <row r="364" spans="1:10" x14ac:dyDescent="0.25">
      <c r="A364" s="2" t="s">
        <v>828</v>
      </c>
      <c r="B364" s="3" t="s">
        <v>829</v>
      </c>
      <c r="C364" s="2" t="s">
        <v>830</v>
      </c>
      <c r="D364" s="4">
        <v>448</v>
      </c>
      <c r="E364" s="4"/>
      <c r="F364" s="5">
        <v>163229.47</v>
      </c>
      <c r="I364" s="11">
        <f t="shared" si="10"/>
        <v>448</v>
      </c>
      <c r="J364" t="str">
        <f t="shared" si="11"/>
        <v>DR</v>
      </c>
    </row>
    <row r="365" spans="1:10" x14ac:dyDescent="0.25">
      <c r="A365" s="2" t="s">
        <v>828</v>
      </c>
      <c r="B365" s="3" t="s">
        <v>831</v>
      </c>
      <c r="C365" s="2" t="s">
        <v>832</v>
      </c>
      <c r="D365" s="4">
        <v>58</v>
      </c>
      <c r="E365" s="4"/>
      <c r="F365" s="5">
        <v>163171.47</v>
      </c>
      <c r="I365" s="11">
        <f t="shared" si="10"/>
        <v>58</v>
      </c>
      <c r="J365" t="str">
        <f t="shared" si="11"/>
        <v>DR</v>
      </c>
    </row>
    <row r="366" spans="1:10" x14ac:dyDescent="0.25">
      <c r="A366" s="2" t="s">
        <v>828</v>
      </c>
      <c r="B366" s="3" t="s">
        <v>833</v>
      </c>
      <c r="C366" s="2" t="s">
        <v>834</v>
      </c>
      <c r="D366" s="4">
        <v>200</v>
      </c>
      <c r="E366" s="4"/>
      <c r="F366" s="5">
        <v>162971.47</v>
      </c>
      <c r="I366" s="11">
        <f t="shared" si="10"/>
        <v>200</v>
      </c>
      <c r="J366" t="str">
        <f t="shared" si="11"/>
        <v>DR</v>
      </c>
    </row>
    <row r="367" spans="1:10" x14ac:dyDescent="0.25">
      <c r="A367" s="2" t="s">
        <v>828</v>
      </c>
      <c r="B367" s="3" t="s">
        <v>835</v>
      </c>
      <c r="C367" s="2" t="s">
        <v>836</v>
      </c>
      <c r="D367" s="4">
        <v>80</v>
      </c>
      <c r="E367" s="4"/>
      <c r="F367" s="5">
        <v>162891.47</v>
      </c>
      <c r="I367" s="11">
        <f t="shared" si="10"/>
        <v>80</v>
      </c>
      <c r="J367" t="str">
        <f t="shared" si="11"/>
        <v>DR</v>
      </c>
    </row>
    <row r="368" spans="1:10" x14ac:dyDescent="0.25">
      <c r="A368" s="2" t="s">
        <v>828</v>
      </c>
      <c r="B368" s="3" t="s">
        <v>837</v>
      </c>
      <c r="C368" s="2" t="s">
        <v>838</v>
      </c>
      <c r="D368" s="4">
        <v>30</v>
      </c>
      <c r="E368" s="4"/>
      <c r="F368" s="5">
        <v>162861.47</v>
      </c>
      <c r="I368" s="11">
        <f t="shared" si="10"/>
        <v>30</v>
      </c>
      <c r="J368" t="str">
        <f t="shared" si="11"/>
        <v>DR</v>
      </c>
    </row>
    <row r="369" spans="1:10" x14ac:dyDescent="0.25">
      <c r="A369" s="2" t="s">
        <v>839</v>
      </c>
      <c r="B369" s="3" t="s">
        <v>840</v>
      </c>
      <c r="C369" s="2" t="s">
        <v>841</v>
      </c>
      <c r="D369" s="4">
        <v>50</v>
      </c>
      <c r="E369" s="4"/>
      <c r="F369" s="5">
        <v>162811.47</v>
      </c>
      <c r="I369" s="11">
        <f t="shared" si="10"/>
        <v>50</v>
      </c>
      <c r="J369" t="str">
        <f t="shared" si="11"/>
        <v>DR</v>
      </c>
    </row>
    <row r="370" spans="1:10" x14ac:dyDescent="0.25">
      <c r="A370" s="2" t="s">
        <v>839</v>
      </c>
      <c r="B370" s="3" t="s">
        <v>842</v>
      </c>
      <c r="C370" s="2" t="s">
        <v>843</v>
      </c>
      <c r="D370" s="4">
        <v>90</v>
      </c>
      <c r="E370" s="4"/>
      <c r="F370" s="5">
        <v>162721.47</v>
      </c>
      <c r="I370" s="11">
        <f t="shared" si="10"/>
        <v>90</v>
      </c>
      <c r="J370" t="str">
        <f t="shared" si="11"/>
        <v>DR</v>
      </c>
    </row>
    <row r="371" spans="1:10" x14ac:dyDescent="0.25">
      <c r="A371" s="2" t="s">
        <v>844</v>
      </c>
      <c r="B371" s="3" t="s">
        <v>845</v>
      </c>
      <c r="C371" s="2" t="s">
        <v>846</v>
      </c>
      <c r="D371" s="4">
        <v>20</v>
      </c>
      <c r="E371" s="4"/>
      <c r="F371" s="5">
        <v>162701.47</v>
      </c>
      <c r="I371" s="11">
        <f t="shared" si="10"/>
        <v>20</v>
      </c>
      <c r="J371" t="str">
        <f t="shared" si="11"/>
        <v>DR</v>
      </c>
    </row>
    <row r="372" spans="1:10" x14ac:dyDescent="0.25">
      <c r="A372" s="2" t="s">
        <v>844</v>
      </c>
      <c r="B372" s="3" t="s">
        <v>847</v>
      </c>
      <c r="C372" s="2" t="s">
        <v>848</v>
      </c>
      <c r="D372" s="4">
        <v>70</v>
      </c>
      <c r="E372" s="4"/>
      <c r="F372" s="5">
        <v>162631.47</v>
      </c>
      <c r="I372" s="11">
        <f t="shared" si="10"/>
        <v>70</v>
      </c>
      <c r="J372" t="str">
        <f t="shared" si="11"/>
        <v>DR</v>
      </c>
    </row>
    <row r="373" spans="1:10" x14ac:dyDescent="0.25">
      <c r="A373" s="2" t="s">
        <v>844</v>
      </c>
      <c r="B373" s="3" t="s">
        <v>849</v>
      </c>
      <c r="C373" s="2" t="s">
        <v>850</v>
      </c>
      <c r="D373" s="4">
        <v>30</v>
      </c>
      <c r="E373" s="4"/>
      <c r="F373" s="5">
        <v>162601.47</v>
      </c>
      <c r="I373" s="11">
        <f t="shared" si="10"/>
        <v>30</v>
      </c>
      <c r="J373" t="str">
        <f t="shared" si="11"/>
        <v>DR</v>
      </c>
    </row>
    <row r="374" spans="1:10" x14ac:dyDescent="0.25">
      <c r="A374" s="2" t="s">
        <v>844</v>
      </c>
      <c r="B374" s="3" t="s">
        <v>851</v>
      </c>
      <c r="C374" s="2" t="s">
        <v>852</v>
      </c>
      <c r="D374" s="4">
        <v>249</v>
      </c>
      <c r="E374" s="4"/>
      <c r="F374" s="5">
        <v>162352.47</v>
      </c>
      <c r="I374" s="11">
        <f t="shared" si="10"/>
        <v>249</v>
      </c>
      <c r="J374" t="str">
        <f t="shared" si="11"/>
        <v>DR</v>
      </c>
    </row>
    <row r="375" spans="1:10" x14ac:dyDescent="0.25">
      <c r="A375" s="2" t="s">
        <v>853</v>
      </c>
      <c r="B375" s="3" t="s">
        <v>854</v>
      </c>
      <c r="C375" s="2" t="s">
        <v>855</v>
      </c>
      <c r="D375" s="4">
        <v>15</v>
      </c>
      <c r="E375" s="4"/>
      <c r="F375" s="5">
        <v>162337.47</v>
      </c>
      <c r="I375" s="11">
        <f t="shared" si="10"/>
        <v>15</v>
      </c>
      <c r="J375" t="str">
        <f t="shared" si="11"/>
        <v>DR</v>
      </c>
    </row>
    <row r="376" spans="1:10" x14ac:dyDescent="0.25">
      <c r="A376" s="2" t="s">
        <v>853</v>
      </c>
      <c r="B376" s="3" t="s">
        <v>856</v>
      </c>
      <c r="C376" s="2" t="s">
        <v>857</v>
      </c>
      <c r="D376" s="4">
        <v>60</v>
      </c>
      <c r="E376" s="4"/>
      <c r="F376" s="5">
        <v>162277.47</v>
      </c>
      <c r="I376" s="11">
        <f t="shared" si="10"/>
        <v>60</v>
      </c>
      <c r="J376" t="str">
        <f t="shared" si="11"/>
        <v>DR</v>
      </c>
    </row>
    <row r="377" spans="1:10" x14ac:dyDescent="0.25">
      <c r="A377" s="2" t="s">
        <v>853</v>
      </c>
      <c r="B377" s="3" t="s">
        <v>858</v>
      </c>
      <c r="C377" s="2" t="s">
        <v>859</v>
      </c>
      <c r="D377" s="4">
        <v>35</v>
      </c>
      <c r="E377" s="4"/>
      <c r="F377" s="5">
        <v>162242.47</v>
      </c>
      <c r="I377" s="11">
        <f t="shared" si="10"/>
        <v>35</v>
      </c>
      <c r="J377" t="str">
        <f t="shared" si="11"/>
        <v>DR</v>
      </c>
    </row>
    <row r="378" spans="1:10" x14ac:dyDescent="0.25">
      <c r="A378" s="2" t="s">
        <v>853</v>
      </c>
      <c r="B378" s="3" t="s">
        <v>860</v>
      </c>
      <c r="C378" s="2" t="s">
        <v>861</v>
      </c>
      <c r="D378" s="4"/>
      <c r="E378" s="4">
        <v>200</v>
      </c>
      <c r="F378" s="5">
        <v>162442.47</v>
      </c>
      <c r="I378" s="11">
        <f t="shared" si="10"/>
        <v>200</v>
      </c>
      <c r="J378" t="str">
        <f t="shared" si="11"/>
        <v>CR</v>
      </c>
    </row>
    <row r="379" spans="1:10" x14ac:dyDescent="0.25">
      <c r="A379" s="2" t="s">
        <v>853</v>
      </c>
      <c r="B379" s="3" t="s">
        <v>862</v>
      </c>
      <c r="C379" s="2" t="s">
        <v>863</v>
      </c>
      <c r="D379" s="4">
        <v>190</v>
      </c>
      <c r="E379" s="4"/>
      <c r="F379" s="5">
        <v>162252.47</v>
      </c>
      <c r="I379" s="11">
        <f t="shared" si="10"/>
        <v>190</v>
      </c>
      <c r="J379" t="str">
        <f t="shared" si="11"/>
        <v>DR</v>
      </c>
    </row>
    <row r="380" spans="1:10" x14ac:dyDescent="0.25">
      <c r="A380" s="2" t="s">
        <v>864</v>
      </c>
      <c r="B380" s="3" t="s">
        <v>865</v>
      </c>
      <c r="C380" s="2" t="s">
        <v>866</v>
      </c>
      <c r="D380" s="4">
        <v>15</v>
      </c>
      <c r="E380" s="4"/>
      <c r="F380" s="5">
        <v>162237.47</v>
      </c>
      <c r="I380" s="11">
        <f t="shared" si="10"/>
        <v>15</v>
      </c>
      <c r="J380" t="str">
        <f t="shared" si="11"/>
        <v>DR</v>
      </c>
    </row>
    <row r="381" spans="1:10" x14ac:dyDescent="0.25">
      <c r="A381" s="2" t="s">
        <v>864</v>
      </c>
      <c r="B381" s="3" t="s">
        <v>867</v>
      </c>
      <c r="C381" s="2" t="s">
        <v>868</v>
      </c>
      <c r="D381" s="4">
        <v>130</v>
      </c>
      <c r="E381" s="4"/>
      <c r="F381" s="5">
        <v>162107.47</v>
      </c>
      <c r="I381" s="11">
        <f t="shared" si="10"/>
        <v>130</v>
      </c>
      <c r="J381" t="str">
        <f t="shared" si="11"/>
        <v>DR</v>
      </c>
    </row>
    <row r="382" spans="1:10" x14ac:dyDescent="0.25">
      <c r="A382" s="2" t="s">
        <v>864</v>
      </c>
      <c r="B382" s="3" t="s">
        <v>869</v>
      </c>
      <c r="C382" s="2" t="s">
        <v>870</v>
      </c>
      <c r="D382" s="4"/>
      <c r="E382" s="4">
        <v>65</v>
      </c>
      <c r="F382" s="5">
        <v>162172.47</v>
      </c>
      <c r="I382" s="11">
        <f t="shared" si="10"/>
        <v>65</v>
      </c>
      <c r="J382" t="str">
        <f t="shared" si="11"/>
        <v>CR</v>
      </c>
    </row>
    <row r="383" spans="1:10" x14ac:dyDescent="0.25">
      <c r="A383" s="2" t="s">
        <v>864</v>
      </c>
      <c r="B383" s="3" t="s">
        <v>871</v>
      </c>
      <c r="C383" s="2" t="s">
        <v>872</v>
      </c>
      <c r="D383" s="4">
        <v>310</v>
      </c>
      <c r="E383" s="4"/>
      <c r="F383" s="5">
        <v>161862.47</v>
      </c>
      <c r="I383" s="11">
        <f t="shared" si="10"/>
        <v>310</v>
      </c>
      <c r="J383" t="str">
        <f t="shared" si="11"/>
        <v>DR</v>
      </c>
    </row>
    <row r="384" spans="1:10" x14ac:dyDescent="0.25">
      <c r="A384" s="2" t="s">
        <v>873</v>
      </c>
      <c r="B384" s="3" t="s">
        <v>874</v>
      </c>
      <c r="C384" s="2" t="s">
        <v>875</v>
      </c>
      <c r="D384" s="4">
        <v>40</v>
      </c>
      <c r="E384" s="4"/>
      <c r="F384" s="5">
        <v>161822.47</v>
      </c>
      <c r="I384" s="11">
        <f t="shared" si="10"/>
        <v>40</v>
      </c>
      <c r="J384" t="str">
        <f t="shared" si="11"/>
        <v>DR</v>
      </c>
    </row>
    <row r="385" spans="1:10" x14ac:dyDescent="0.25">
      <c r="A385" s="2" t="s">
        <v>873</v>
      </c>
      <c r="B385" s="3" t="s">
        <v>876</v>
      </c>
      <c r="C385" s="2" t="s">
        <v>877</v>
      </c>
      <c r="D385" s="4">
        <v>60</v>
      </c>
      <c r="E385" s="4"/>
      <c r="F385" s="5">
        <v>161762.47</v>
      </c>
      <c r="I385" s="11">
        <f t="shared" si="10"/>
        <v>60</v>
      </c>
      <c r="J385" t="str">
        <f t="shared" si="11"/>
        <v>DR</v>
      </c>
    </row>
    <row r="386" spans="1:10" x14ac:dyDescent="0.25">
      <c r="A386" s="2" t="s">
        <v>878</v>
      </c>
      <c r="B386" s="3" t="s">
        <v>879</v>
      </c>
      <c r="C386" s="2" t="s">
        <v>880</v>
      </c>
      <c r="D386" s="4">
        <v>40</v>
      </c>
      <c r="E386" s="4"/>
      <c r="F386" s="5">
        <v>161722.47</v>
      </c>
      <c r="I386" s="11">
        <f t="shared" si="10"/>
        <v>40</v>
      </c>
      <c r="J386" t="str">
        <f t="shared" si="11"/>
        <v>DR</v>
      </c>
    </row>
    <row r="387" spans="1:10" x14ac:dyDescent="0.25">
      <c r="A387" s="2" t="s">
        <v>878</v>
      </c>
      <c r="B387" s="3" t="s">
        <v>881</v>
      </c>
      <c r="C387" s="2" t="s">
        <v>882</v>
      </c>
      <c r="D387" s="4">
        <v>104</v>
      </c>
      <c r="E387" s="4"/>
      <c r="F387" s="5">
        <v>161618.47</v>
      </c>
      <c r="I387" s="11">
        <f t="shared" si="10"/>
        <v>104</v>
      </c>
      <c r="J387" t="str">
        <f t="shared" si="11"/>
        <v>DR</v>
      </c>
    </row>
    <row r="388" spans="1:10" x14ac:dyDescent="0.25">
      <c r="A388" s="2" t="s">
        <v>878</v>
      </c>
      <c r="B388" s="3" t="s">
        <v>883</v>
      </c>
      <c r="C388" s="2" t="s">
        <v>884</v>
      </c>
      <c r="D388" s="4">
        <v>50</v>
      </c>
      <c r="E388" s="4"/>
      <c r="F388" s="5">
        <v>161568.47</v>
      </c>
      <c r="I388" s="11">
        <f t="shared" ref="I388:I451" si="12">+D388+E388</f>
        <v>50</v>
      </c>
      <c r="J388" t="str">
        <f t="shared" ref="J388:J451" si="13">IF(E388=0,"DR","CR")</f>
        <v>DR</v>
      </c>
    </row>
    <row r="389" spans="1:10" x14ac:dyDescent="0.25">
      <c r="A389" s="2" t="s">
        <v>878</v>
      </c>
      <c r="B389" s="3" t="s">
        <v>885</v>
      </c>
      <c r="C389" s="2" t="s">
        <v>886</v>
      </c>
      <c r="D389" s="4">
        <v>20</v>
      </c>
      <c r="E389" s="4"/>
      <c r="F389" s="5">
        <v>161548.47</v>
      </c>
      <c r="I389" s="11">
        <f t="shared" si="12"/>
        <v>20</v>
      </c>
      <c r="J389" t="str">
        <f t="shared" si="13"/>
        <v>DR</v>
      </c>
    </row>
    <row r="390" spans="1:10" x14ac:dyDescent="0.25">
      <c r="A390" s="2" t="s">
        <v>878</v>
      </c>
      <c r="B390" s="3" t="s">
        <v>887</v>
      </c>
      <c r="C390" s="2" t="s">
        <v>888</v>
      </c>
      <c r="D390" s="4">
        <v>100</v>
      </c>
      <c r="E390" s="4"/>
      <c r="F390" s="5">
        <v>161448.47</v>
      </c>
      <c r="I390" s="11">
        <f t="shared" si="12"/>
        <v>100</v>
      </c>
      <c r="J390" t="str">
        <f t="shared" si="13"/>
        <v>DR</v>
      </c>
    </row>
    <row r="391" spans="1:10" x14ac:dyDescent="0.25">
      <c r="A391" s="2" t="s">
        <v>889</v>
      </c>
      <c r="B391" s="3" t="s">
        <v>890</v>
      </c>
      <c r="C391" s="2" t="s">
        <v>235</v>
      </c>
      <c r="D391" s="4"/>
      <c r="E391" s="4">
        <v>1407</v>
      </c>
      <c r="F391" s="5">
        <v>162855.47</v>
      </c>
      <c r="I391" s="11">
        <f t="shared" si="12"/>
        <v>1407</v>
      </c>
      <c r="J391" t="str">
        <f t="shared" si="13"/>
        <v>CR</v>
      </c>
    </row>
    <row r="392" spans="1:10" x14ac:dyDescent="0.25">
      <c r="A392" s="2" t="s">
        <v>889</v>
      </c>
      <c r="B392" s="3" t="s">
        <v>891</v>
      </c>
      <c r="C392" s="2" t="s">
        <v>892</v>
      </c>
      <c r="D392" s="4">
        <v>15</v>
      </c>
      <c r="E392" s="4"/>
      <c r="F392" s="5">
        <v>162840.47</v>
      </c>
      <c r="I392" s="11">
        <f t="shared" si="12"/>
        <v>15</v>
      </c>
      <c r="J392" t="str">
        <f t="shared" si="13"/>
        <v>DR</v>
      </c>
    </row>
    <row r="393" spans="1:10" x14ac:dyDescent="0.25">
      <c r="A393" s="2" t="s">
        <v>889</v>
      </c>
      <c r="B393" s="3" t="s">
        <v>893</v>
      </c>
      <c r="C393" s="2" t="s">
        <v>894</v>
      </c>
      <c r="D393" s="4"/>
      <c r="E393" s="4">
        <v>1</v>
      </c>
      <c r="F393" s="5">
        <v>162841.47</v>
      </c>
      <c r="I393" s="11">
        <f t="shared" si="12"/>
        <v>1</v>
      </c>
      <c r="J393" t="str">
        <f t="shared" si="13"/>
        <v>CR</v>
      </c>
    </row>
    <row r="394" spans="1:10" x14ac:dyDescent="0.25">
      <c r="A394" s="2" t="s">
        <v>889</v>
      </c>
      <c r="B394" s="3" t="s">
        <v>895</v>
      </c>
      <c r="C394" s="2" t="s">
        <v>896</v>
      </c>
      <c r="D394" s="4">
        <v>100</v>
      </c>
      <c r="E394" s="4"/>
      <c r="F394" s="5">
        <v>162741.47</v>
      </c>
      <c r="I394" s="11">
        <f t="shared" si="12"/>
        <v>100</v>
      </c>
      <c r="J394" t="str">
        <f t="shared" si="13"/>
        <v>DR</v>
      </c>
    </row>
    <row r="395" spans="1:10" x14ac:dyDescent="0.25">
      <c r="A395" s="2" t="s">
        <v>889</v>
      </c>
      <c r="B395" s="3" t="s">
        <v>897</v>
      </c>
      <c r="C395" s="2" t="s">
        <v>898</v>
      </c>
      <c r="D395" s="4">
        <v>40</v>
      </c>
      <c r="E395" s="4"/>
      <c r="F395" s="5">
        <v>162701.47</v>
      </c>
      <c r="I395" s="11">
        <f t="shared" si="12"/>
        <v>40</v>
      </c>
      <c r="J395" t="str">
        <f t="shared" si="13"/>
        <v>DR</v>
      </c>
    </row>
    <row r="396" spans="1:10" x14ac:dyDescent="0.25">
      <c r="A396" s="2" t="s">
        <v>889</v>
      </c>
      <c r="B396" s="3" t="s">
        <v>899</v>
      </c>
      <c r="C396" s="2" t="s">
        <v>900</v>
      </c>
      <c r="D396" s="4">
        <v>20</v>
      </c>
      <c r="E396" s="4"/>
      <c r="F396" s="5">
        <v>162681.47</v>
      </c>
      <c r="I396" s="11">
        <f t="shared" si="12"/>
        <v>20</v>
      </c>
      <c r="J396" t="str">
        <f t="shared" si="13"/>
        <v>DR</v>
      </c>
    </row>
    <row r="397" spans="1:10" x14ac:dyDescent="0.25">
      <c r="A397" s="2" t="s">
        <v>901</v>
      </c>
      <c r="B397" s="3" t="s">
        <v>902</v>
      </c>
      <c r="C397" s="2" t="s">
        <v>903</v>
      </c>
      <c r="D397" s="4">
        <v>25</v>
      </c>
      <c r="E397" s="4"/>
      <c r="F397" s="5">
        <v>162656.47</v>
      </c>
      <c r="I397" s="11">
        <f t="shared" si="12"/>
        <v>25</v>
      </c>
      <c r="J397" t="str">
        <f t="shared" si="13"/>
        <v>DR</v>
      </c>
    </row>
    <row r="398" spans="1:10" x14ac:dyDescent="0.25">
      <c r="A398" s="2" t="s">
        <v>901</v>
      </c>
      <c r="B398" s="3" t="s">
        <v>904</v>
      </c>
      <c r="C398" s="2" t="s">
        <v>905</v>
      </c>
      <c r="D398" s="4">
        <v>120</v>
      </c>
      <c r="E398" s="4"/>
      <c r="F398" s="5">
        <v>162536.47</v>
      </c>
      <c r="I398" s="11">
        <f t="shared" si="12"/>
        <v>120</v>
      </c>
      <c r="J398" t="str">
        <f t="shared" si="13"/>
        <v>DR</v>
      </c>
    </row>
    <row r="399" spans="1:10" x14ac:dyDescent="0.25">
      <c r="A399" s="2" t="s">
        <v>901</v>
      </c>
      <c r="B399" s="3" t="s">
        <v>906</v>
      </c>
      <c r="C399" s="2" t="s">
        <v>907</v>
      </c>
      <c r="D399" s="4">
        <v>35</v>
      </c>
      <c r="E399" s="4"/>
      <c r="F399" s="5">
        <v>162501.47</v>
      </c>
      <c r="I399" s="11">
        <f t="shared" si="12"/>
        <v>35</v>
      </c>
      <c r="J399" t="str">
        <f t="shared" si="13"/>
        <v>DR</v>
      </c>
    </row>
    <row r="400" spans="1:10" x14ac:dyDescent="0.25">
      <c r="A400" s="2" t="s">
        <v>901</v>
      </c>
      <c r="B400" s="3" t="s">
        <v>908</v>
      </c>
      <c r="C400" s="2" t="s">
        <v>909</v>
      </c>
      <c r="D400" s="4">
        <v>117</v>
      </c>
      <c r="E400" s="4"/>
      <c r="F400" s="5">
        <v>162384.47</v>
      </c>
      <c r="I400" s="11">
        <f t="shared" si="12"/>
        <v>117</v>
      </c>
      <c r="J400" t="str">
        <f t="shared" si="13"/>
        <v>DR</v>
      </c>
    </row>
    <row r="401" spans="1:10" x14ac:dyDescent="0.25">
      <c r="A401" s="2" t="s">
        <v>910</v>
      </c>
      <c r="B401" s="3" t="s">
        <v>911</v>
      </c>
      <c r="C401" s="2" t="s">
        <v>912</v>
      </c>
      <c r="D401" s="4">
        <v>25</v>
      </c>
      <c r="E401" s="4"/>
      <c r="F401" s="5">
        <v>162359.47</v>
      </c>
      <c r="I401" s="11">
        <f t="shared" si="12"/>
        <v>25</v>
      </c>
      <c r="J401" t="str">
        <f t="shared" si="13"/>
        <v>DR</v>
      </c>
    </row>
    <row r="402" spans="1:10" x14ac:dyDescent="0.25">
      <c r="A402" s="2" t="s">
        <v>910</v>
      </c>
      <c r="B402" s="3" t="s">
        <v>913</v>
      </c>
      <c r="C402" s="2" t="s">
        <v>914</v>
      </c>
      <c r="D402" s="4">
        <v>15</v>
      </c>
      <c r="E402" s="4"/>
      <c r="F402" s="5">
        <v>162344.47</v>
      </c>
      <c r="I402" s="11">
        <f t="shared" si="12"/>
        <v>15</v>
      </c>
      <c r="J402" t="str">
        <f t="shared" si="13"/>
        <v>DR</v>
      </c>
    </row>
    <row r="403" spans="1:10" x14ac:dyDescent="0.25">
      <c r="A403" s="2" t="s">
        <v>910</v>
      </c>
      <c r="B403" s="3" t="s">
        <v>915</v>
      </c>
      <c r="C403" s="2" t="s">
        <v>916</v>
      </c>
      <c r="D403" s="4">
        <v>200</v>
      </c>
      <c r="E403" s="4"/>
      <c r="F403" s="5">
        <v>162144.47</v>
      </c>
      <c r="I403" s="11">
        <f t="shared" si="12"/>
        <v>200</v>
      </c>
      <c r="J403" t="str">
        <f t="shared" si="13"/>
        <v>DR</v>
      </c>
    </row>
    <row r="404" spans="1:10" x14ac:dyDescent="0.25">
      <c r="A404" s="2" t="s">
        <v>910</v>
      </c>
      <c r="B404" s="3" t="s">
        <v>917</v>
      </c>
      <c r="C404" s="2" t="s">
        <v>918</v>
      </c>
      <c r="D404" s="4">
        <v>40</v>
      </c>
      <c r="E404" s="4"/>
      <c r="F404" s="5">
        <v>162104.47</v>
      </c>
      <c r="I404" s="11">
        <f t="shared" si="12"/>
        <v>40</v>
      </c>
      <c r="J404" t="str">
        <f t="shared" si="13"/>
        <v>DR</v>
      </c>
    </row>
    <row r="405" spans="1:10" x14ac:dyDescent="0.25">
      <c r="A405" s="2" t="s">
        <v>910</v>
      </c>
      <c r="B405" s="3" t="s">
        <v>919</v>
      </c>
      <c r="C405" s="2" t="s">
        <v>920</v>
      </c>
      <c r="D405" s="4">
        <v>50</v>
      </c>
      <c r="E405" s="4"/>
      <c r="F405" s="5">
        <v>162054.47</v>
      </c>
      <c r="I405" s="11">
        <f t="shared" si="12"/>
        <v>50</v>
      </c>
      <c r="J405" t="str">
        <f t="shared" si="13"/>
        <v>DR</v>
      </c>
    </row>
    <row r="406" spans="1:10" x14ac:dyDescent="0.25">
      <c r="A406" s="2" t="s">
        <v>910</v>
      </c>
      <c r="B406" s="3" t="s">
        <v>921</v>
      </c>
      <c r="C406" s="2" t="s">
        <v>922</v>
      </c>
      <c r="D406" s="4">
        <v>20</v>
      </c>
      <c r="E406" s="4"/>
      <c r="F406" s="5">
        <v>162034.47</v>
      </c>
      <c r="I406" s="11">
        <f t="shared" si="12"/>
        <v>20</v>
      </c>
      <c r="J406" t="str">
        <f t="shared" si="13"/>
        <v>DR</v>
      </c>
    </row>
    <row r="407" spans="1:10" x14ac:dyDescent="0.25">
      <c r="A407" s="2" t="s">
        <v>923</v>
      </c>
      <c r="B407" s="3" t="s">
        <v>924</v>
      </c>
      <c r="C407" s="2" t="s">
        <v>925</v>
      </c>
      <c r="D407" s="4">
        <v>30</v>
      </c>
      <c r="E407" s="4"/>
      <c r="F407" s="5">
        <v>162004.47</v>
      </c>
      <c r="I407" s="11">
        <f t="shared" si="12"/>
        <v>30</v>
      </c>
      <c r="J407" t="str">
        <f t="shared" si="13"/>
        <v>DR</v>
      </c>
    </row>
    <row r="408" spans="1:10" x14ac:dyDescent="0.25">
      <c r="A408" s="2" t="s">
        <v>923</v>
      </c>
      <c r="B408" s="3" t="s">
        <v>926</v>
      </c>
      <c r="C408" s="2" t="s">
        <v>927</v>
      </c>
      <c r="D408" s="4">
        <v>25</v>
      </c>
      <c r="E408" s="4"/>
      <c r="F408" s="5">
        <v>161979.47</v>
      </c>
      <c r="I408" s="11">
        <f t="shared" si="12"/>
        <v>25</v>
      </c>
      <c r="J408" t="str">
        <f t="shared" si="13"/>
        <v>DR</v>
      </c>
    </row>
    <row r="409" spans="1:10" x14ac:dyDescent="0.25">
      <c r="A409" s="2" t="s">
        <v>923</v>
      </c>
      <c r="B409" s="3" t="s">
        <v>928</v>
      </c>
      <c r="C409" s="2" t="s">
        <v>929</v>
      </c>
      <c r="D409" s="4">
        <v>4000</v>
      </c>
      <c r="E409" s="4"/>
      <c r="F409" s="5">
        <v>157979.47</v>
      </c>
      <c r="I409" s="11">
        <f t="shared" si="12"/>
        <v>4000</v>
      </c>
      <c r="J409" t="str">
        <f t="shared" si="13"/>
        <v>DR</v>
      </c>
    </row>
    <row r="410" spans="1:10" x14ac:dyDescent="0.25">
      <c r="A410" s="2" t="s">
        <v>930</v>
      </c>
      <c r="B410" s="3" t="s">
        <v>931</v>
      </c>
      <c r="C410" s="2" t="s">
        <v>932</v>
      </c>
      <c r="D410" s="4">
        <v>20</v>
      </c>
      <c r="E410" s="4"/>
      <c r="F410" s="5">
        <v>157959.47</v>
      </c>
      <c r="I410" s="11">
        <f t="shared" si="12"/>
        <v>20</v>
      </c>
      <c r="J410" t="str">
        <f t="shared" si="13"/>
        <v>DR</v>
      </c>
    </row>
    <row r="411" spans="1:10" x14ac:dyDescent="0.25">
      <c r="A411" s="2" t="s">
        <v>930</v>
      </c>
      <c r="B411" s="3" t="s">
        <v>933</v>
      </c>
      <c r="C411" s="2" t="s">
        <v>934</v>
      </c>
      <c r="D411" s="4">
        <v>20</v>
      </c>
      <c r="E411" s="4"/>
      <c r="F411" s="5">
        <v>157939.47</v>
      </c>
      <c r="I411" s="11">
        <f t="shared" si="12"/>
        <v>20</v>
      </c>
      <c r="J411" t="str">
        <f t="shared" si="13"/>
        <v>DR</v>
      </c>
    </row>
    <row r="412" spans="1:10" x14ac:dyDescent="0.25">
      <c r="A412" s="2" t="s">
        <v>930</v>
      </c>
      <c r="B412" s="3" t="s">
        <v>935</v>
      </c>
      <c r="C412" s="2" t="s">
        <v>936</v>
      </c>
      <c r="D412" s="4">
        <v>228</v>
      </c>
      <c r="E412" s="4"/>
      <c r="F412" s="5">
        <v>157711.47</v>
      </c>
      <c r="I412" s="11">
        <f t="shared" si="12"/>
        <v>228</v>
      </c>
      <c r="J412" t="str">
        <f t="shared" si="13"/>
        <v>DR</v>
      </c>
    </row>
    <row r="413" spans="1:10" x14ac:dyDescent="0.25">
      <c r="A413" s="2" t="s">
        <v>930</v>
      </c>
      <c r="B413" s="3" t="s">
        <v>937</v>
      </c>
      <c r="C413" s="2" t="s">
        <v>938</v>
      </c>
      <c r="D413" s="4">
        <v>375</v>
      </c>
      <c r="E413" s="4"/>
      <c r="F413" s="5">
        <v>157336.47</v>
      </c>
      <c r="I413" s="11">
        <f t="shared" si="12"/>
        <v>375</v>
      </c>
      <c r="J413" t="str">
        <f t="shared" si="13"/>
        <v>DR</v>
      </c>
    </row>
    <row r="414" spans="1:10" x14ac:dyDescent="0.25">
      <c r="A414" s="2" t="s">
        <v>939</v>
      </c>
      <c r="B414" s="3" t="s">
        <v>940</v>
      </c>
      <c r="C414" s="2" t="s">
        <v>941</v>
      </c>
      <c r="D414" s="4">
        <v>470.82</v>
      </c>
      <c r="E414" s="4"/>
      <c r="F414" s="5">
        <v>156865.65</v>
      </c>
      <c r="I414" s="11">
        <f t="shared" si="12"/>
        <v>470.82</v>
      </c>
      <c r="J414" t="str">
        <f t="shared" si="13"/>
        <v>DR</v>
      </c>
    </row>
    <row r="415" spans="1:10" x14ac:dyDescent="0.25">
      <c r="A415" s="2" t="s">
        <v>942</v>
      </c>
      <c r="B415" s="3" t="s">
        <v>943</v>
      </c>
      <c r="C415" s="2" t="s">
        <v>944</v>
      </c>
      <c r="D415" s="4">
        <v>40</v>
      </c>
      <c r="E415" s="4"/>
      <c r="F415" s="5">
        <v>156825.65</v>
      </c>
      <c r="I415" s="11">
        <f t="shared" si="12"/>
        <v>40</v>
      </c>
      <c r="J415" t="str">
        <f t="shared" si="13"/>
        <v>DR</v>
      </c>
    </row>
    <row r="416" spans="1:10" x14ac:dyDescent="0.25">
      <c r="A416" s="2" t="s">
        <v>945</v>
      </c>
      <c r="B416" s="3" t="s">
        <v>946</v>
      </c>
      <c r="C416" s="2" t="s">
        <v>947</v>
      </c>
      <c r="D416" s="4">
        <v>4196.91</v>
      </c>
      <c r="E416" s="4"/>
      <c r="F416" s="5">
        <v>152628.74</v>
      </c>
      <c r="I416" s="11">
        <f t="shared" si="12"/>
        <v>4196.91</v>
      </c>
      <c r="J416" t="str">
        <f t="shared" si="13"/>
        <v>DR</v>
      </c>
    </row>
    <row r="417" spans="1:10" x14ac:dyDescent="0.25">
      <c r="A417" s="2" t="s">
        <v>948</v>
      </c>
      <c r="B417" s="3" t="s">
        <v>949</v>
      </c>
      <c r="C417" s="2" t="s">
        <v>950</v>
      </c>
      <c r="D417" s="4">
        <v>4000</v>
      </c>
      <c r="E417" s="4"/>
      <c r="F417" s="5">
        <v>148628.74</v>
      </c>
      <c r="I417" s="11">
        <f t="shared" si="12"/>
        <v>4000</v>
      </c>
      <c r="J417" t="str">
        <f t="shared" si="13"/>
        <v>DR</v>
      </c>
    </row>
    <row r="418" spans="1:10" x14ac:dyDescent="0.25">
      <c r="A418" s="2" t="s">
        <v>948</v>
      </c>
      <c r="B418" s="3" t="s">
        <v>951</v>
      </c>
      <c r="C418" s="2" t="s">
        <v>952</v>
      </c>
      <c r="D418" s="4">
        <v>4000</v>
      </c>
      <c r="E418" s="4"/>
      <c r="F418" s="5">
        <v>144628.74</v>
      </c>
      <c r="I418" s="11">
        <f t="shared" si="12"/>
        <v>4000</v>
      </c>
      <c r="J418" t="str">
        <f t="shared" si="13"/>
        <v>DR</v>
      </c>
    </row>
    <row r="419" spans="1:10" x14ac:dyDescent="0.25">
      <c r="A419" s="2" t="s">
        <v>953</v>
      </c>
      <c r="B419" s="3" t="s">
        <v>954</v>
      </c>
      <c r="C419" s="2" t="s">
        <v>955</v>
      </c>
      <c r="D419" s="4">
        <v>1100</v>
      </c>
      <c r="E419" s="4"/>
      <c r="F419" s="5">
        <v>143528.74</v>
      </c>
      <c r="I419" s="11">
        <f t="shared" si="12"/>
        <v>1100</v>
      </c>
      <c r="J419" t="str">
        <f t="shared" si="13"/>
        <v>DR</v>
      </c>
    </row>
    <row r="420" spans="1:10" x14ac:dyDescent="0.25">
      <c r="A420" s="2" t="s">
        <v>953</v>
      </c>
      <c r="B420" s="3" t="s">
        <v>956</v>
      </c>
      <c r="C420" s="2" t="s">
        <v>957</v>
      </c>
      <c r="D420" s="4">
        <v>30</v>
      </c>
      <c r="E420" s="4"/>
      <c r="F420" s="5">
        <v>143498.74</v>
      </c>
      <c r="I420" s="11">
        <f t="shared" si="12"/>
        <v>30</v>
      </c>
      <c r="J420" t="str">
        <f t="shared" si="13"/>
        <v>DR</v>
      </c>
    </row>
    <row r="421" spans="1:10" x14ac:dyDescent="0.25">
      <c r="A421" s="2" t="s">
        <v>953</v>
      </c>
      <c r="B421" s="3" t="s">
        <v>958</v>
      </c>
      <c r="C421" s="2" t="s">
        <v>959</v>
      </c>
      <c r="D421" s="4">
        <v>130</v>
      </c>
      <c r="E421" s="4"/>
      <c r="F421" s="5">
        <v>143368.74</v>
      </c>
      <c r="I421" s="11">
        <f t="shared" si="12"/>
        <v>130</v>
      </c>
      <c r="J421" t="str">
        <f t="shared" si="13"/>
        <v>DR</v>
      </c>
    </row>
    <row r="422" spans="1:10" x14ac:dyDescent="0.25">
      <c r="A422" s="2" t="s">
        <v>953</v>
      </c>
      <c r="B422" s="3" t="s">
        <v>960</v>
      </c>
      <c r="C422" s="2" t="s">
        <v>961</v>
      </c>
      <c r="D422" s="4">
        <v>20</v>
      </c>
      <c r="E422" s="4"/>
      <c r="F422" s="5">
        <v>143348.74</v>
      </c>
      <c r="I422" s="11">
        <f t="shared" si="12"/>
        <v>20</v>
      </c>
      <c r="J422" t="str">
        <f t="shared" si="13"/>
        <v>DR</v>
      </c>
    </row>
    <row r="423" spans="1:10" x14ac:dyDescent="0.25">
      <c r="A423" s="2" t="s">
        <v>962</v>
      </c>
      <c r="B423" s="3" t="s">
        <v>963</v>
      </c>
      <c r="C423" s="2" t="s">
        <v>964</v>
      </c>
      <c r="D423" s="4">
        <v>16360</v>
      </c>
      <c r="E423" s="4"/>
      <c r="F423" s="5">
        <v>126988.74</v>
      </c>
      <c r="I423" s="11">
        <f t="shared" si="12"/>
        <v>16360</v>
      </c>
      <c r="J423" t="str">
        <f t="shared" si="13"/>
        <v>DR</v>
      </c>
    </row>
    <row r="424" spans="1:10" x14ac:dyDescent="0.25">
      <c r="A424" s="2" t="s">
        <v>965</v>
      </c>
      <c r="B424" s="3" t="s">
        <v>966</v>
      </c>
      <c r="C424" s="2" t="s">
        <v>967</v>
      </c>
      <c r="D424" s="4">
        <v>1700</v>
      </c>
      <c r="E424" s="4"/>
      <c r="F424" s="5">
        <v>125288.74</v>
      </c>
      <c r="I424" s="11">
        <f t="shared" si="12"/>
        <v>1700</v>
      </c>
      <c r="J424" t="str">
        <f t="shared" si="13"/>
        <v>DR</v>
      </c>
    </row>
    <row r="425" spans="1:10" x14ac:dyDescent="0.25">
      <c r="A425" s="2" t="s">
        <v>968</v>
      </c>
      <c r="B425" s="3" t="s">
        <v>969</v>
      </c>
      <c r="C425" s="2" t="s">
        <v>970</v>
      </c>
      <c r="D425" s="4">
        <v>1641</v>
      </c>
      <c r="E425" s="4"/>
      <c r="F425" s="5">
        <v>123647.74</v>
      </c>
      <c r="I425" s="11">
        <f t="shared" si="12"/>
        <v>1641</v>
      </c>
      <c r="J425" t="str">
        <f t="shared" si="13"/>
        <v>DR</v>
      </c>
    </row>
    <row r="426" spans="1:10" x14ac:dyDescent="0.25">
      <c r="A426" s="2" t="s">
        <v>968</v>
      </c>
      <c r="B426" s="3" t="s">
        <v>971</v>
      </c>
      <c r="C426" s="2" t="s">
        <v>972</v>
      </c>
      <c r="D426" s="4">
        <v>30</v>
      </c>
      <c r="E426" s="4"/>
      <c r="F426" s="5">
        <v>123617.74</v>
      </c>
      <c r="I426" s="11">
        <f t="shared" si="12"/>
        <v>30</v>
      </c>
      <c r="J426" t="str">
        <f t="shared" si="13"/>
        <v>DR</v>
      </c>
    </row>
    <row r="427" spans="1:10" x14ac:dyDescent="0.25">
      <c r="A427" s="2" t="s">
        <v>968</v>
      </c>
      <c r="B427" s="3" t="s">
        <v>973</v>
      </c>
      <c r="C427" s="2" t="s">
        <v>974</v>
      </c>
      <c r="D427" s="4">
        <v>80</v>
      </c>
      <c r="E427" s="4"/>
      <c r="F427" s="5">
        <v>123537.74</v>
      </c>
      <c r="I427" s="11">
        <f t="shared" si="12"/>
        <v>80</v>
      </c>
      <c r="J427" t="str">
        <f t="shared" si="13"/>
        <v>DR</v>
      </c>
    </row>
    <row r="428" spans="1:10" x14ac:dyDescent="0.25">
      <c r="A428" s="2" t="s">
        <v>968</v>
      </c>
      <c r="B428" s="3" t="s">
        <v>975</v>
      </c>
      <c r="C428" s="2" t="s">
        <v>976</v>
      </c>
      <c r="D428" s="4"/>
      <c r="E428" s="4">
        <v>1650</v>
      </c>
      <c r="F428" s="5">
        <v>125187.74</v>
      </c>
      <c r="I428" s="11">
        <f t="shared" si="12"/>
        <v>1650</v>
      </c>
      <c r="J428" t="str">
        <f t="shared" si="13"/>
        <v>CR</v>
      </c>
    </row>
    <row r="429" spans="1:10" x14ac:dyDescent="0.25">
      <c r="A429" s="2" t="s">
        <v>977</v>
      </c>
      <c r="B429" s="3" t="s">
        <v>978</v>
      </c>
      <c r="C429" s="2" t="s">
        <v>979</v>
      </c>
      <c r="D429" s="4"/>
      <c r="E429" s="4">
        <v>101.3</v>
      </c>
      <c r="F429" s="5">
        <v>125289.04</v>
      </c>
      <c r="I429" s="11">
        <f t="shared" si="12"/>
        <v>101.3</v>
      </c>
      <c r="J429" t="str">
        <f t="shared" si="13"/>
        <v>CR</v>
      </c>
    </row>
    <row r="430" spans="1:10" x14ac:dyDescent="0.25">
      <c r="A430" s="2" t="s">
        <v>977</v>
      </c>
      <c r="B430" s="3" t="s">
        <v>980</v>
      </c>
      <c r="C430" s="2" t="s">
        <v>981</v>
      </c>
      <c r="D430" s="4">
        <v>4030</v>
      </c>
      <c r="E430" s="4"/>
      <c r="F430" s="5">
        <v>121259.04</v>
      </c>
      <c r="I430" s="11">
        <f t="shared" si="12"/>
        <v>4030</v>
      </c>
      <c r="J430" t="str">
        <f t="shared" si="13"/>
        <v>DR</v>
      </c>
    </row>
    <row r="431" spans="1:10" x14ac:dyDescent="0.25">
      <c r="A431" s="2" t="s">
        <v>982</v>
      </c>
      <c r="B431" s="3" t="s">
        <v>983</v>
      </c>
      <c r="C431" s="2" t="s">
        <v>984</v>
      </c>
      <c r="D431" s="4">
        <v>1100</v>
      </c>
      <c r="E431" s="4"/>
      <c r="F431" s="5">
        <v>120159.03999999999</v>
      </c>
      <c r="I431" s="11">
        <f t="shared" si="12"/>
        <v>1100</v>
      </c>
      <c r="J431" t="str">
        <f t="shared" si="13"/>
        <v>DR</v>
      </c>
    </row>
    <row r="432" spans="1:10" x14ac:dyDescent="0.25">
      <c r="A432" s="2" t="s">
        <v>982</v>
      </c>
      <c r="B432" s="3" t="s">
        <v>985</v>
      </c>
      <c r="C432" s="2" t="s">
        <v>986</v>
      </c>
      <c r="D432" s="4">
        <v>299</v>
      </c>
      <c r="E432" s="4"/>
      <c r="F432" s="5">
        <v>119860.04</v>
      </c>
      <c r="I432" s="11">
        <f t="shared" si="12"/>
        <v>299</v>
      </c>
      <c r="J432" t="str">
        <f t="shared" si="13"/>
        <v>DR</v>
      </c>
    </row>
    <row r="433" spans="1:10" x14ac:dyDescent="0.25">
      <c r="A433" s="2" t="s">
        <v>982</v>
      </c>
      <c r="B433" s="3" t="s">
        <v>987</v>
      </c>
      <c r="C433" s="2" t="s">
        <v>988</v>
      </c>
      <c r="D433" s="4">
        <v>859</v>
      </c>
      <c r="E433" s="4"/>
      <c r="F433" s="5">
        <v>119001.04</v>
      </c>
      <c r="I433" s="11">
        <f t="shared" si="12"/>
        <v>859</v>
      </c>
      <c r="J433" t="str">
        <f t="shared" si="13"/>
        <v>DR</v>
      </c>
    </row>
    <row r="434" spans="1:10" x14ac:dyDescent="0.25">
      <c r="A434" s="2" t="s">
        <v>989</v>
      </c>
      <c r="B434" s="3" t="s">
        <v>990</v>
      </c>
      <c r="C434" s="2" t="s">
        <v>991</v>
      </c>
      <c r="D434" s="4">
        <v>375</v>
      </c>
      <c r="E434" s="4"/>
      <c r="F434" s="5">
        <v>118626.04</v>
      </c>
      <c r="I434" s="11">
        <f t="shared" si="12"/>
        <v>375</v>
      </c>
      <c r="J434" t="str">
        <f t="shared" si="13"/>
        <v>DR</v>
      </c>
    </row>
    <row r="435" spans="1:10" x14ac:dyDescent="0.25">
      <c r="A435" s="2" t="s">
        <v>989</v>
      </c>
      <c r="B435" s="3" t="s">
        <v>992</v>
      </c>
      <c r="C435" s="2" t="s">
        <v>993</v>
      </c>
      <c r="D435" s="4">
        <v>120</v>
      </c>
      <c r="E435" s="4"/>
      <c r="F435" s="5">
        <v>118506.04</v>
      </c>
      <c r="I435" s="11">
        <f t="shared" si="12"/>
        <v>120</v>
      </c>
      <c r="J435" t="str">
        <f t="shared" si="13"/>
        <v>DR</v>
      </c>
    </row>
    <row r="436" spans="1:10" x14ac:dyDescent="0.25">
      <c r="A436" s="2" t="s">
        <v>994</v>
      </c>
      <c r="B436" s="3" t="s">
        <v>995</v>
      </c>
      <c r="C436" s="2"/>
      <c r="D436" s="4"/>
      <c r="E436" s="4">
        <v>20000</v>
      </c>
      <c r="F436" s="5">
        <v>138506.04</v>
      </c>
      <c r="I436" s="11">
        <f t="shared" si="12"/>
        <v>20000</v>
      </c>
      <c r="J436" t="str">
        <f t="shared" si="13"/>
        <v>CR</v>
      </c>
    </row>
    <row r="437" spans="1:10" x14ac:dyDescent="0.25">
      <c r="A437" s="2" t="s">
        <v>994</v>
      </c>
      <c r="B437" s="3" t="s">
        <v>996</v>
      </c>
      <c r="C437" s="2" t="s">
        <v>997</v>
      </c>
      <c r="D437" s="4">
        <v>19</v>
      </c>
      <c r="E437" s="4"/>
      <c r="F437" s="5">
        <v>138487.04000000001</v>
      </c>
      <c r="I437" s="11">
        <f t="shared" si="12"/>
        <v>19</v>
      </c>
      <c r="J437" t="str">
        <f t="shared" si="13"/>
        <v>DR</v>
      </c>
    </row>
    <row r="438" spans="1:10" x14ac:dyDescent="0.25">
      <c r="A438" s="2" t="s">
        <v>998</v>
      </c>
      <c r="B438" s="3" t="s">
        <v>999</v>
      </c>
      <c r="C438" s="2" t="s">
        <v>1000</v>
      </c>
      <c r="D438" s="4">
        <v>29</v>
      </c>
      <c r="E438" s="4"/>
      <c r="F438" s="5">
        <v>138458.04</v>
      </c>
      <c r="I438" s="11">
        <f t="shared" si="12"/>
        <v>29</v>
      </c>
      <c r="J438" t="str">
        <f t="shared" si="13"/>
        <v>DR</v>
      </c>
    </row>
    <row r="439" spans="1:10" x14ac:dyDescent="0.25">
      <c r="A439" s="2" t="s">
        <v>1001</v>
      </c>
      <c r="B439" s="3" t="s">
        <v>1002</v>
      </c>
      <c r="C439" s="2" t="s">
        <v>1003</v>
      </c>
      <c r="D439" s="4">
        <v>470.82</v>
      </c>
      <c r="E439" s="4"/>
      <c r="F439" s="5">
        <v>137987.22</v>
      </c>
      <c r="I439" s="11">
        <f t="shared" si="12"/>
        <v>470.82</v>
      </c>
      <c r="J439" t="str">
        <f t="shared" si="13"/>
        <v>DR</v>
      </c>
    </row>
    <row r="440" spans="1:10" x14ac:dyDescent="0.25">
      <c r="A440" s="2" t="s">
        <v>1001</v>
      </c>
      <c r="B440" s="3" t="s">
        <v>1004</v>
      </c>
      <c r="C440" s="2" t="s">
        <v>1005</v>
      </c>
      <c r="D440" s="4">
        <v>3500</v>
      </c>
      <c r="E440" s="4"/>
      <c r="F440" s="5">
        <v>134487.22</v>
      </c>
      <c r="I440" s="11">
        <f t="shared" si="12"/>
        <v>3500</v>
      </c>
      <c r="J440" t="str">
        <f t="shared" si="13"/>
        <v>DR</v>
      </c>
    </row>
    <row r="441" spans="1:10" x14ac:dyDescent="0.25">
      <c r="A441" s="2" t="s">
        <v>1006</v>
      </c>
      <c r="B441" s="3" t="s">
        <v>1007</v>
      </c>
      <c r="C441" s="2"/>
      <c r="D441" s="4"/>
      <c r="E441" s="4">
        <v>5.62</v>
      </c>
      <c r="F441" s="5">
        <v>134492.84</v>
      </c>
      <c r="I441" s="11">
        <f t="shared" si="12"/>
        <v>5.62</v>
      </c>
      <c r="J441" t="str">
        <f t="shared" si="13"/>
        <v>CR</v>
      </c>
    </row>
    <row r="442" spans="1:10" x14ac:dyDescent="0.25">
      <c r="A442" s="2" t="s">
        <v>1006</v>
      </c>
      <c r="B442" s="3" t="s">
        <v>1008</v>
      </c>
      <c r="C442" s="2" t="s">
        <v>1009</v>
      </c>
      <c r="D442" s="4">
        <v>720</v>
      </c>
      <c r="E442" s="4"/>
      <c r="F442" s="5">
        <v>133772.84</v>
      </c>
      <c r="I442" s="11">
        <f t="shared" si="12"/>
        <v>720</v>
      </c>
      <c r="J442" t="str">
        <f t="shared" si="13"/>
        <v>DR</v>
      </c>
    </row>
    <row r="443" spans="1:10" x14ac:dyDescent="0.25">
      <c r="A443" s="2" t="s">
        <v>1006</v>
      </c>
      <c r="B443" s="3" t="s">
        <v>1010</v>
      </c>
      <c r="C443" s="2" t="s">
        <v>1011</v>
      </c>
      <c r="D443" s="4"/>
      <c r="E443" s="4">
        <v>360</v>
      </c>
      <c r="F443" s="5">
        <v>134132.84</v>
      </c>
      <c r="I443" s="11">
        <f t="shared" si="12"/>
        <v>360</v>
      </c>
      <c r="J443" t="str">
        <f t="shared" si="13"/>
        <v>CR</v>
      </c>
    </row>
    <row r="444" spans="1:10" x14ac:dyDescent="0.25">
      <c r="A444" s="2" t="s">
        <v>1006</v>
      </c>
      <c r="B444" s="3" t="s">
        <v>1012</v>
      </c>
      <c r="C444" s="2" t="s">
        <v>1013</v>
      </c>
      <c r="D444" s="4">
        <v>40</v>
      </c>
      <c r="E444" s="4"/>
      <c r="F444" s="5">
        <v>134092.84</v>
      </c>
      <c r="I444" s="11">
        <f t="shared" si="12"/>
        <v>40</v>
      </c>
      <c r="J444" t="str">
        <f t="shared" si="13"/>
        <v>DR</v>
      </c>
    </row>
    <row r="445" spans="1:10" x14ac:dyDescent="0.25">
      <c r="A445" s="2" t="s">
        <v>1014</v>
      </c>
      <c r="B445" s="3" t="s">
        <v>1015</v>
      </c>
      <c r="C445" s="2" t="s">
        <v>1016</v>
      </c>
      <c r="D445" s="4">
        <v>307.2</v>
      </c>
      <c r="E445" s="4"/>
      <c r="F445" s="5">
        <v>133785.64000000001</v>
      </c>
      <c r="I445" s="11">
        <f t="shared" si="12"/>
        <v>307.2</v>
      </c>
      <c r="J445" t="str">
        <f t="shared" si="13"/>
        <v>DR</v>
      </c>
    </row>
    <row r="446" spans="1:10" x14ac:dyDescent="0.25">
      <c r="A446" s="2" t="s">
        <v>1017</v>
      </c>
      <c r="B446" s="3" t="s">
        <v>1018</v>
      </c>
      <c r="C446" s="2" t="s">
        <v>1019</v>
      </c>
      <c r="D446" s="4">
        <v>550</v>
      </c>
      <c r="E446" s="4"/>
      <c r="F446" s="5">
        <v>133235.64000000001</v>
      </c>
      <c r="I446" s="11">
        <f t="shared" si="12"/>
        <v>550</v>
      </c>
      <c r="J446" t="str">
        <f t="shared" si="13"/>
        <v>DR</v>
      </c>
    </row>
    <row r="447" spans="1:10" x14ac:dyDescent="0.25">
      <c r="A447" s="2" t="s">
        <v>1020</v>
      </c>
      <c r="B447" s="3" t="s">
        <v>1021</v>
      </c>
      <c r="C447" s="2" t="s">
        <v>1022</v>
      </c>
      <c r="D447" s="4">
        <v>997.5</v>
      </c>
      <c r="E447" s="4"/>
      <c r="F447" s="5">
        <v>132238.14000000001</v>
      </c>
      <c r="I447" s="11">
        <f t="shared" si="12"/>
        <v>997.5</v>
      </c>
      <c r="J447" t="str">
        <f t="shared" si="13"/>
        <v>DR</v>
      </c>
    </row>
    <row r="448" spans="1:10" x14ac:dyDescent="0.25">
      <c r="A448" s="2" t="s">
        <v>1020</v>
      </c>
      <c r="B448" s="3" t="s">
        <v>1023</v>
      </c>
      <c r="C448" s="2" t="s">
        <v>1024</v>
      </c>
      <c r="D448" s="4">
        <v>1000</v>
      </c>
      <c r="E448" s="4"/>
      <c r="F448" s="5">
        <v>131238.14000000001</v>
      </c>
      <c r="I448" s="11">
        <f t="shared" si="12"/>
        <v>1000</v>
      </c>
      <c r="J448" t="str">
        <f t="shared" si="13"/>
        <v>DR</v>
      </c>
    </row>
    <row r="449" spans="1:10" x14ac:dyDescent="0.25">
      <c r="A449" s="2" t="s">
        <v>1025</v>
      </c>
      <c r="B449" s="3" t="s">
        <v>1026</v>
      </c>
      <c r="C449" s="2" t="s">
        <v>1027</v>
      </c>
      <c r="D449" s="4">
        <v>29</v>
      </c>
      <c r="E449" s="4"/>
      <c r="F449" s="5">
        <v>131209.14000000001</v>
      </c>
      <c r="I449" s="11">
        <f t="shared" si="12"/>
        <v>29</v>
      </c>
      <c r="J449" t="str">
        <f t="shared" si="13"/>
        <v>DR</v>
      </c>
    </row>
    <row r="450" spans="1:10" x14ac:dyDescent="0.25">
      <c r="A450" s="2" t="s">
        <v>1028</v>
      </c>
      <c r="B450" s="3" t="s">
        <v>1029</v>
      </c>
      <c r="C450" s="2" t="s">
        <v>1030</v>
      </c>
      <c r="D450" s="4">
        <v>29</v>
      </c>
      <c r="E450" s="4"/>
      <c r="F450" s="5">
        <v>131180.14000000001</v>
      </c>
      <c r="I450" s="11">
        <f t="shared" si="12"/>
        <v>29</v>
      </c>
      <c r="J450" t="str">
        <f t="shared" si="13"/>
        <v>DR</v>
      </c>
    </row>
    <row r="451" spans="1:10" x14ac:dyDescent="0.25">
      <c r="A451" s="2" t="s">
        <v>1031</v>
      </c>
      <c r="B451" s="3" t="s">
        <v>1032</v>
      </c>
      <c r="C451" s="2" t="s">
        <v>1033</v>
      </c>
      <c r="D451" s="4">
        <v>20</v>
      </c>
      <c r="E451" s="4"/>
      <c r="F451" s="5">
        <v>131160.14000000001</v>
      </c>
      <c r="I451" s="11">
        <f t="shared" si="12"/>
        <v>20</v>
      </c>
      <c r="J451" t="str">
        <f t="shared" si="13"/>
        <v>DR</v>
      </c>
    </row>
    <row r="452" spans="1:10" x14ac:dyDescent="0.25">
      <c r="A452" s="2" t="s">
        <v>1031</v>
      </c>
      <c r="B452" s="3" t="s">
        <v>1034</v>
      </c>
      <c r="C452" s="2" t="s">
        <v>1035</v>
      </c>
      <c r="D452" s="4">
        <v>5</v>
      </c>
      <c r="E452" s="4"/>
      <c r="F452" s="5">
        <v>131155.14000000001</v>
      </c>
      <c r="I452" s="11">
        <f t="shared" ref="I452:I515" si="14">+D452+E452</f>
        <v>5</v>
      </c>
      <c r="J452" t="str">
        <f t="shared" ref="J452:J515" si="15">IF(E452=0,"DR","CR")</f>
        <v>DR</v>
      </c>
    </row>
    <row r="453" spans="1:10" x14ac:dyDescent="0.25">
      <c r="A453" s="2" t="s">
        <v>1036</v>
      </c>
      <c r="B453" s="3" t="s">
        <v>1037</v>
      </c>
      <c r="C453" s="2" t="s">
        <v>1038</v>
      </c>
      <c r="D453" s="4">
        <v>400</v>
      </c>
      <c r="E453" s="4"/>
      <c r="F453" s="5">
        <v>130755.14</v>
      </c>
      <c r="I453" s="11">
        <f t="shared" si="14"/>
        <v>400</v>
      </c>
      <c r="J453" t="str">
        <f t="shared" si="15"/>
        <v>DR</v>
      </c>
    </row>
    <row r="454" spans="1:10" x14ac:dyDescent="0.25">
      <c r="A454" s="2" t="s">
        <v>1036</v>
      </c>
      <c r="B454" s="3" t="s">
        <v>1039</v>
      </c>
      <c r="C454" s="2" t="s">
        <v>1040</v>
      </c>
      <c r="D454" s="4">
        <v>360</v>
      </c>
      <c r="E454" s="4"/>
      <c r="F454" s="5">
        <v>130395.14</v>
      </c>
      <c r="I454" s="11">
        <f t="shared" si="14"/>
        <v>360</v>
      </c>
      <c r="J454" t="str">
        <f t="shared" si="15"/>
        <v>DR</v>
      </c>
    </row>
    <row r="455" spans="1:10" x14ac:dyDescent="0.25">
      <c r="A455" s="2" t="s">
        <v>1036</v>
      </c>
      <c r="B455" s="3" t="s">
        <v>1041</v>
      </c>
      <c r="C455" s="2" t="s">
        <v>1042</v>
      </c>
      <c r="D455" s="4"/>
      <c r="E455" s="4">
        <v>1</v>
      </c>
      <c r="F455" s="5">
        <v>130396.14</v>
      </c>
      <c r="I455" s="11">
        <f t="shared" si="14"/>
        <v>1</v>
      </c>
      <c r="J455" t="str">
        <f t="shared" si="15"/>
        <v>CR</v>
      </c>
    </row>
    <row r="456" spans="1:10" x14ac:dyDescent="0.25">
      <c r="A456" s="2" t="s">
        <v>1036</v>
      </c>
      <c r="B456" s="3" t="s">
        <v>1043</v>
      </c>
      <c r="C456" s="2" t="s">
        <v>1044</v>
      </c>
      <c r="D456" s="4">
        <v>1180</v>
      </c>
      <c r="E456" s="4"/>
      <c r="F456" s="5">
        <v>129216.14</v>
      </c>
      <c r="I456" s="11">
        <f t="shared" si="14"/>
        <v>1180</v>
      </c>
      <c r="J456" t="str">
        <f t="shared" si="15"/>
        <v>DR</v>
      </c>
    </row>
    <row r="457" spans="1:10" x14ac:dyDescent="0.25">
      <c r="A457" s="2" t="s">
        <v>1045</v>
      </c>
      <c r="B457" s="3" t="s">
        <v>1046</v>
      </c>
      <c r="C457" s="2" t="s">
        <v>1047</v>
      </c>
      <c r="D457" s="4">
        <v>239</v>
      </c>
      <c r="E457" s="4"/>
      <c r="F457" s="5">
        <v>128977.14</v>
      </c>
      <c r="I457" s="11">
        <f t="shared" si="14"/>
        <v>239</v>
      </c>
      <c r="J457" t="str">
        <f t="shared" si="15"/>
        <v>DR</v>
      </c>
    </row>
    <row r="458" spans="1:10" x14ac:dyDescent="0.25">
      <c r="A458" s="2" t="s">
        <v>1045</v>
      </c>
      <c r="B458" s="3" t="s">
        <v>1048</v>
      </c>
      <c r="C458" s="2" t="s">
        <v>1049</v>
      </c>
      <c r="D458" s="4">
        <v>11010</v>
      </c>
      <c r="E458" s="4"/>
      <c r="F458" s="5">
        <v>117967.14</v>
      </c>
      <c r="I458" s="11">
        <f t="shared" si="14"/>
        <v>11010</v>
      </c>
      <c r="J458" t="str">
        <f t="shared" si="15"/>
        <v>DR</v>
      </c>
    </row>
    <row r="459" spans="1:10" x14ac:dyDescent="0.25">
      <c r="A459" s="2" t="s">
        <v>1045</v>
      </c>
      <c r="B459" s="3" t="s">
        <v>1050</v>
      </c>
      <c r="C459" s="2" t="s">
        <v>1051</v>
      </c>
      <c r="D459" s="4">
        <v>4000</v>
      </c>
      <c r="E459" s="4"/>
      <c r="F459" s="5">
        <v>113967.14</v>
      </c>
      <c r="I459" s="11">
        <f t="shared" si="14"/>
        <v>4000</v>
      </c>
      <c r="J459" t="str">
        <f t="shared" si="15"/>
        <v>DR</v>
      </c>
    </row>
    <row r="460" spans="1:10" x14ac:dyDescent="0.25">
      <c r="A460" s="2" t="s">
        <v>1045</v>
      </c>
      <c r="B460" s="3" t="s">
        <v>1052</v>
      </c>
      <c r="C460" s="2" t="s">
        <v>1053</v>
      </c>
      <c r="D460" s="4">
        <v>4000</v>
      </c>
      <c r="E460" s="4"/>
      <c r="F460" s="5">
        <v>109967.14</v>
      </c>
      <c r="I460" s="11">
        <f t="shared" si="14"/>
        <v>4000</v>
      </c>
      <c r="J460" t="str">
        <f t="shared" si="15"/>
        <v>DR</v>
      </c>
    </row>
    <row r="461" spans="1:10" x14ac:dyDescent="0.25">
      <c r="A461" s="2" t="s">
        <v>1054</v>
      </c>
      <c r="B461" s="3" t="s">
        <v>1055</v>
      </c>
      <c r="C461" s="2" t="s">
        <v>1056</v>
      </c>
      <c r="D461" s="4"/>
      <c r="E461" s="4">
        <v>110</v>
      </c>
      <c r="F461" s="5">
        <v>110077.14</v>
      </c>
      <c r="I461" s="11">
        <f t="shared" si="14"/>
        <v>110</v>
      </c>
      <c r="J461" t="str">
        <f t="shared" si="15"/>
        <v>CR</v>
      </c>
    </row>
    <row r="462" spans="1:10" x14ac:dyDescent="0.25">
      <c r="A462" s="2" t="s">
        <v>1057</v>
      </c>
      <c r="B462" s="3" t="s">
        <v>1058</v>
      </c>
      <c r="C462" s="2" t="s">
        <v>1059</v>
      </c>
      <c r="D462" s="4">
        <v>10</v>
      </c>
      <c r="E462" s="4"/>
      <c r="F462" s="5">
        <v>110067.14</v>
      </c>
      <c r="I462" s="11">
        <f t="shared" si="14"/>
        <v>10</v>
      </c>
      <c r="J462" t="str">
        <f t="shared" si="15"/>
        <v>DR</v>
      </c>
    </row>
    <row r="463" spans="1:10" x14ac:dyDescent="0.25">
      <c r="A463" s="2" t="s">
        <v>1057</v>
      </c>
      <c r="B463" s="3" t="s">
        <v>1060</v>
      </c>
      <c r="C463" s="2" t="s">
        <v>1061</v>
      </c>
      <c r="D463" s="4"/>
      <c r="E463" s="4">
        <v>2</v>
      </c>
      <c r="F463" s="5">
        <v>110069.14</v>
      </c>
      <c r="I463" s="11">
        <f t="shared" si="14"/>
        <v>2</v>
      </c>
      <c r="J463" t="str">
        <f t="shared" si="15"/>
        <v>CR</v>
      </c>
    </row>
    <row r="464" spans="1:10" x14ac:dyDescent="0.25">
      <c r="A464" s="2" t="s">
        <v>1057</v>
      </c>
      <c r="B464" s="3" t="s">
        <v>1062</v>
      </c>
      <c r="C464" s="2" t="s">
        <v>1063</v>
      </c>
      <c r="D464" s="4"/>
      <c r="E464" s="4">
        <v>1</v>
      </c>
      <c r="F464" s="5">
        <v>110070.14</v>
      </c>
      <c r="I464" s="11">
        <f t="shared" si="14"/>
        <v>1</v>
      </c>
      <c r="J464" t="str">
        <f t="shared" si="15"/>
        <v>CR</v>
      </c>
    </row>
    <row r="465" spans="1:10" x14ac:dyDescent="0.25">
      <c r="A465" s="2" t="s">
        <v>1057</v>
      </c>
      <c r="B465" s="3" t="s">
        <v>1064</v>
      </c>
      <c r="C465" s="2"/>
      <c r="D465" s="4"/>
      <c r="E465" s="4">
        <v>194598</v>
      </c>
      <c r="F465" s="5">
        <v>304668.14</v>
      </c>
      <c r="I465" s="11">
        <f t="shared" si="14"/>
        <v>194598</v>
      </c>
      <c r="J465" t="str">
        <f t="shared" si="15"/>
        <v>CR</v>
      </c>
    </row>
    <row r="466" spans="1:10" x14ac:dyDescent="0.25">
      <c r="A466" s="2" t="s">
        <v>1065</v>
      </c>
      <c r="B466" s="3" t="s">
        <v>1066</v>
      </c>
      <c r="C466" s="2"/>
      <c r="D466" s="4"/>
      <c r="E466" s="4">
        <v>5170</v>
      </c>
      <c r="F466" s="5">
        <v>309838.14</v>
      </c>
      <c r="I466" s="11">
        <f t="shared" si="14"/>
        <v>5170</v>
      </c>
      <c r="J466" t="str">
        <f t="shared" si="15"/>
        <v>CR</v>
      </c>
    </row>
    <row r="467" spans="1:10" x14ac:dyDescent="0.25">
      <c r="A467" s="2" t="s">
        <v>1065</v>
      </c>
      <c r="B467" s="3" t="s">
        <v>1067</v>
      </c>
      <c r="C467" s="2" t="s">
        <v>1068</v>
      </c>
      <c r="D467" s="4">
        <v>341</v>
      </c>
      <c r="E467" s="4"/>
      <c r="F467" s="5">
        <v>309497.14</v>
      </c>
      <c r="I467" s="11">
        <f t="shared" si="14"/>
        <v>341</v>
      </c>
      <c r="J467" t="str">
        <f t="shared" si="15"/>
        <v>DR</v>
      </c>
    </row>
    <row r="468" spans="1:10" x14ac:dyDescent="0.25">
      <c r="A468" s="2" t="s">
        <v>1065</v>
      </c>
      <c r="B468" s="3" t="s">
        <v>1069</v>
      </c>
      <c r="C468" s="2" t="s">
        <v>1070</v>
      </c>
      <c r="D468" s="4">
        <v>414.75</v>
      </c>
      <c r="E468" s="4"/>
      <c r="F468" s="5">
        <v>309082.39</v>
      </c>
      <c r="I468" s="11">
        <f t="shared" si="14"/>
        <v>414.75</v>
      </c>
      <c r="J468" t="str">
        <f t="shared" si="15"/>
        <v>DR</v>
      </c>
    </row>
    <row r="469" spans="1:10" x14ac:dyDescent="0.25">
      <c r="A469" s="2" t="s">
        <v>1065</v>
      </c>
      <c r="B469" s="3" t="s">
        <v>1071</v>
      </c>
      <c r="C469" s="2" t="s">
        <v>1072</v>
      </c>
      <c r="D469" s="4">
        <v>15</v>
      </c>
      <c r="E469" s="4"/>
      <c r="F469" s="5">
        <v>309067.39</v>
      </c>
      <c r="I469" s="11">
        <f t="shared" si="14"/>
        <v>15</v>
      </c>
      <c r="J469" t="str">
        <f t="shared" si="15"/>
        <v>DR</v>
      </c>
    </row>
    <row r="470" spans="1:10" x14ac:dyDescent="0.25">
      <c r="A470" s="2" t="s">
        <v>1065</v>
      </c>
      <c r="B470" s="3" t="s">
        <v>1073</v>
      </c>
      <c r="C470" s="2" t="s">
        <v>1074</v>
      </c>
      <c r="D470" s="4"/>
      <c r="E470" s="4">
        <v>334</v>
      </c>
      <c r="F470" s="5">
        <v>309401.39</v>
      </c>
      <c r="I470" s="11">
        <f t="shared" si="14"/>
        <v>334</v>
      </c>
      <c r="J470" t="str">
        <f t="shared" si="15"/>
        <v>CR</v>
      </c>
    </row>
    <row r="471" spans="1:10" x14ac:dyDescent="0.25">
      <c r="A471" s="2" t="s">
        <v>1075</v>
      </c>
      <c r="B471" s="3" t="s">
        <v>1076</v>
      </c>
      <c r="C471" s="2" t="s">
        <v>1077</v>
      </c>
      <c r="D471" s="4">
        <v>10</v>
      </c>
      <c r="E471" s="4"/>
      <c r="F471" s="5">
        <v>309391.39</v>
      </c>
      <c r="I471" s="11">
        <f t="shared" si="14"/>
        <v>10</v>
      </c>
      <c r="J471" t="str">
        <f t="shared" si="15"/>
        <v>DR</v>
      </c>
    </row>
    <row r="472" spans="1:10" x14ac:dyDescent="0.25">
      <c r="A472" s="2" t="s">
        <v>1075</v>
      </c>
      <c r="B472" s="3" t="s">
        <v>1078</v>
      </c>
      <c r="C472" s="2" t="s">
        <v>1079</v>
      </c>
      <c r="D472" s="4">
        <v>49</v>
      </c>
      <c r="E472" s="4"/>
      <c r="F472" s="5">
        <v>309342.39</v>
      </c>
      <c r="I472" s="11">
        <f t="shared" si="14"/>
        <v>49</v>
      </c>
      <c r="J472" t="str">
        <f t="shared" si="15"/>
        <v>DR</v>
      </c>
    </row>
    <row r="473" spans="1:10" x14ac:dyDescent="0.25">
      <c r="A473" s="2" t="s">
        <v>1075</v>
      </c>
      <c r="B473" s="3" t="s">
        <v>1080</v>
      </c>
      <c r="C473" s="2" t="s">
        <v>1081</v>
      </c>
      <c r="D473" s="4">
        <v>5199</v>
      </c>
      <c r="E473" s="4"/>
      <c r="F473" s="5">
        <v>304143.39</v>
      </c>
      <c r="I473" s="11">
        <f t="shared" si="14"/>
        <v>5199</v>
      </c>
      <c r="J473" t="str">
        <f t="shared" si="15"/>
        <v>DR</v>
      </c>
    </row>
    <row r="474" spans="1:10" x14ac:dyDescent="0.25">
      <c r="A474" s="2" t="s">
        <v>1082</v>
      </c>
      <c r="B474" s="3" t="s">
        <v>1083</v>
      </c>
      <c r="C474" s="2" t="s">
        <v>1084</v>
      </c>
      <c r="D474" s="4">
        <v>40</v>
      </c>
      <c r="E474" s="4"/>
      <c r="F474" s="5">
        <v>304103.39</v>
      </c>
      <c r="I474" s="11">
        <f t="shared" si="14"/>
        <v>40</v>
      </c>
      <c r="J474" t="str">
        <f t="shared" si="15"/>
        <v>DR</v>
      </c>
    </row>
    <row r="475" spans="1:10" x14ac:dyDescent="0.25">
      <c r="A475" s="2" t="s">
        <v>1082</v>
      </c>
      <c r="B475" s="3" t="s">
        <v>1085</v>
      </c>
      <c r="C475" s="2" t="s">
        <v>1086</v>
      </c>
      <c r="D475" s="4">
        <v>60</v>
      </c>
      <c r="E475" s="4"/>
      <c r="F475" s="5">
        <v>304043.39</v>
      </c>
      <c r="I475" s="11">
        <f t="shared" si="14"/>
        <v>60</v>
      </c>
      <c r="J475" t="str">
        <f t="shared" si="15"/>
        <v>DR</v>
      </c>
    </row>
    <row r="476" spans="1:10" x14ac:dyDescent="0.25">
      <c r="A476" s="2" t="s">
        <v>1087</v>
      </c>
      <c r="B476" s="3" t="s">
        <v>1088</v>
      </c>
      <c r="C476" s="2" t="s">
        <v>1089</v>
      </c>
      <c r="D476" s="4">
        <v>375</v>
      </c>
      <c r="E476" s="4"/>
      <c r="F476" s="5">
        <v>303668.39</v>
      </c>
      <c r="I476" s="11">
        <f t="shared" si="14"/>
        <v>375</v>
      </c>
      <c r="J476" t="str">
        <f t="shared" si="15"/>
        <v>DR</v>
      </c>
    </row>
    <row r="477" spans="1:10" x14ac:dyDescent="0.25">
      <c r="A477" s="2" t="s">
        <v>1090</v>
      </c>
      <c r="B477" s="3" t="s">
        <v>1091</v>
      </c>
      <c r="C477" s="2" t="s">
        <v>1092</v>
      </c>
      <c r="D477" s="4">
        <v>250</v>
      </c>
      <c r="E477" s="4"/>
      <c r="F477" s="5">
        <v>303418.39</v>
      </c>
      <c r="I477" s="11">
        <f t="shared" si="14"/>
        <v>250</v>
      </c>
      <c r="J477" t="str">
        <f t="shared" si="15"/>
        <v>DR</v>
      </c>
    </row>
    <row r="478" spans="1:10" x14ac:dyDescent="0.25">
      <c r="A478" s="2" t="s">
        <v>1090</v>
      </c>
      <c r="B478" s="3" t="s">
        <v>1093</v>
      </c>
      <c r="C478" s="2" t="s">
        <v>1094</v>
      </c>
      <c r="D478" s="4"/>
      <c r="E478" s="4">
        <v>0.01</v>
      </c>
      <c r="F478" s="5">
        <v>303418.40000000002</v>
      </c>
      <c r="I478" s="11">
        <f t="shared" si="14"/>
        <v>0.01</v>
      </c>
      <c r="J478" t="str">
        <f t="shared" si="15"/>
        <v>CR</v>
      </c>
    </row>
    <row r="479" spans="1:10" x14ac:dyDescent="0.25">
      <c r="A479" s="2" t="s">
        <v>1090</v>
      </c>
      <c r="B479" s="3" t="s">
        <v>1095</v>
      </c>
      <c r="C479" s="2"/>
      <c r="D479" s="4"/>
      <c r="E479" s="4">
        <v>1</v>
      </c>
      <c r="F479" s="5">
        <v>303419.40000000002</v>
      </c>
      <c r="I479" s="11">
        <f t="shared" si="14"/>
        <v>1</v>
      </c>
      <c r="J479" t="str">
        <f t="shared" si="15"/>
        <v>CR</v>
      </c>
    </row>
    <row r="480" spans="1:10" x14ac:dyDescent="0.25">
      <c r="A480" s="2" t="s">
        <v>1096</v>
      </c>
      <c r="B480" s="3" t="s">
        <v>1097</v>
      </c>
      <c r="C480" s="2"/>
      <c r="D480" s="4"/>
      <c r="E480" s="4">
        <v>95000</v>
      </c>
      <c r="F480" s="5">
        <v>398419.4</v>
      </c>
      <c r="I480" s="11">
        <f t="shared" si="14"/>
        <v>95000</v>
      </c>
      <c r="J480" t="str">
        <f t="shared" si="15"/>
        <v>CR</v>
      </c>
    </row>
    <row r="481" spans="1:10" x14ac:dyDescent="0.25">
      <c r="A481" s="2" t="s">
        <v>1098</v>
      </c>
      <c r="B481" s="3" t="s">
        <v>1099</v>
      </c>
      <c r="C481" s="2" t="s">
        <v>1100</v>
      </c>
      <c r="D481" s="4"/>
      <c r="E481" s="4">
        <v>30000</v>
      </c>
      <c r="F481" s="5">
        <v>428419.4</v>
      </c>
      <c r="I481" s="11">
        <f t="shared" si="14"/>
        <v>30000</v>
      </c>
      <c r="J481" t="str">
        <f t="shared" si="15"/>
        <v>CR</v>
      </c>
    </row>
    <row r="482" spans="1:10" x14ac:dyDescent="0.25">
      <c r="A482" s="2" t="s">
        <v>1101</v>
      </c>
      <c r="B482" s="3" t="s">
        <v>1102</v>
      </c>
      <c r="C482" s="2" t="s">
        <v>1103</v>
      </c>
      <c r="D482" s="4">
        <v>30</v>
      </c>
      <c r="E482" s="4"/>
      <c r="F482" s="5">
        <v>428389.4</v>
      </c>
      <c r="I482" s="11">
        <f t="shared" si="14"/>
        <v>30</v>
      </c>
      <c r="J482" t="str">
        <f t="shared" si="15"/>
        <v>DR</v>
      </c>
    </row>
    <row r="483" spans="1:10" x14ac:dyDescent="0.25">
      <c r="A483" s="2" t="s">
        <v>1101</v>
      </c>
      <c r="B483" s="3" t="s">
        <v>1104</v>
      </c>
      <c r="C483" s="2" t="s">
        <v>1105</v>
      </c>
      <c r="D483" s="4">
        <v>470.82</v>
      </c>
      <c r="E483" s="4"/>
      <c r="F483" s="5">
        <v>427918.58</v>
      </c>
      <c r="I483" s="11">
        <f t="shared" si="14"/>
        <v>470.82</v>
      </c>
      <c r="J483" t="str">
        <f t="shared" si="15"/>
        <v>DR</v>
      </c>
    </row>
    <row r="484" spans="1:10" x14ac:dyDescent="0.25">
      <c r="A484" s="2" t="s">
        <v>1106</v>
      </c>
      <c r="B484" s="3" t="s">
        <v>1107</v>
      </c>
      <c r="C484" s="2" t="s">
        <v>1108</v>
      </c>
      <c r="D484" s="4">
        <v>20</v>
      </c>
      <c r="E484" s="4"/>
      <c r="F484" s="5">
        <v>427898.58</v>
      </c>
      <c r="I484" s="11">
        <f t="shared" si="14"/>
        <v>20</v>
      </c>
      <c r="J484" t="str">
        <f t="shared" si="15"/>
        <v>DR</v>
      </c>
    </row>
    <row r="485" spans="1:10" x14ac:dyDescent="0.25">
      <c r="A485" s="2" t="s">
        <v>1109</v>
      </c>
      <c r="B485" s="3" t="s">
        <v>1110</v>
      </c>
      <c r="C485" s="2" t="s">
        <v>1111</v>
      </c>
      <c r="D485" s="4"/>
      <c r="E485" s="4">
        <v>30000</v>
      </c>
      <c r="F485" s="5">
        <v>457898.58</v>
      </c>
      <c r="I485" s="11">
        <f t="shared" si="14"/>
        <v>30000</v>
      </c>
      <c r="J485" t="str">
        <f t="shared" si="15"/>
        <v>CR</v>
      </c>
    </row>
    <row r="486" spans="1:10" x14ac:dyDescent="0.25">
      <c r="A486" s="2" t="s">
        <v>1109</v>
      </c>
      <c r="B486" s="3" t="s">
        <v>1112</v>
      </c>
      <c r="C486" s="2" t="s">
        <v>1113</v>
      </c>
      <c r="D486" s="4"/>
      <c r="E486" s="4">
        <v>30000</v>
      </c>
      <c r="F486" s="5">
        <v>487898.58</v>
      </c>
      <c r="I486" s="11">
        <f t="shared" si="14"/>
        <v>30000</v>
      </c>
      <c r="J486" t="str">
        <f t="shared" si="15"/>
        <v>CR</v>
      </c>
    </row>
    <row r="487" spans="1:10" x14ac:dyDescent="0.25">
      <c r="A487" s="2" t="s">
        <v>1109</v>
      </c>
      <c r="B487" s="3" t="s">
        <v>1114</v>
      </c>
      <c r="C487" s="2" t="s">
        <v>1115</v>
      </c>
      <c r="D487" s="4"/>
      <c r="E487" s="4">
        <v>15000</v>
      </c>
      <c r="F487" s="5">
        <v>502898.58</v>
      </c>
      <c r="I487" s="11">
        <f t="shared" si="14"/>
        <v>15000</v>
      </c>
      <c r="J487" t="str">
        <f t="shared" si="15"/>
        <v>CR</v>
      </c>
    </row>
    <row r="488" spans="1:10" x14ac:dyDescent="0.25">
      <c r="A488" s="2" t="s">
        <v>1109</v>
      </c>
      <c r="B488" s="3" t="s">
        <v>1116</v>
      </c>
      <c r="C488" s="2" t="s">
        <v>1117</v>
      </c>
      <c r="D488" s="4">
        <v>420</v>
      </c>
      <c r="E488" s="4"/>
      <c r="F488" s="5">
        <v>502478.58</v>
      </c>
      <c r="I488" s="11">
        <f t="shared" si="14"/>
        <v>420</v>
      </c>
      <c r="J488" t="str">
        <f t="shared" si="15"/>
        <v>DR</v>
      </c>
    </row>
    <row r="489" spans="1:10" x14ac:dyDescent="0.25">
      <c r="A489" s="2" t="s">
        <v>1118</v>
      </c>
      <c r="B489" s="3" t="s">
        <v>1119</v>
      </c>
      <c r="C489" s="2" t="s">
        <v>1120</v>
      </c>
      <c r="D489" s="4">
        <v>188.15</v>
      </c>
      <c r="E489" s="4"/>
      <c r="F489" s="5">
        <v>502290.43</v>
      </c>
      <c r="I489" s="11">
        <f t="shared" si="14"/>
        <v>188.15</v>
      </c>
      <c r="J489" t="str">
        <f t="shared" si="15"/>
        <v>DR</v>
      </c>
    </row>
    <row r="490" spans="1:10" x14ac:dyDescent="0.25">
      <c r="A490" s="2" t="s">
        <v>1118</v>
      </c>
      <c r="B490" s="3" t="s">
        <v>1121</v>
      </c>
      <c r="C490" s="2" t="s">
        <v>1122</v>
      </c>
      <c r="D490" s="4"/>
      <c r="E490" s="4">
        <v>188.15</v>
      </c>
      <c r="F490" s="5">
        <v>502478.58</v>
      </c>
      <c r="I490" s="11">
        <f t="shared" si="14"/>
        <v>188.15</v>
      </c>
      <c r="J490" t="str">
        <f t="shared" si="15"/>
        <v>CR</v>
      </c>
    </row>
    <row r="491" spans="1:10" x14ac:dyDescent="0.25">
      <c r="A491" s="2" t="s">
        <v>1118</v>
      </c>
      <c r="B491" s="3" t="s">
        <v>1123</v>
      </c>
      <c r="C491" s="2" t="s">
        <v>1124</v>
      </c>
      <c r="D491" s="4">
        <v>1</v>
      </c>
      <c r="E491" s="4"/>
      <c r="F491" s="5">
        <v>502477.58</v>
      </c>
      <c r="I491" s="11">
        <f t="shared" si="14"/>
        <v>1</v>
      </c>
      <c r="J491" t="str">
        <f t="shared" si="15"/>
        <v>DR</v>
      </c>
    </row>
    <row r="492" spans="1:10" x14ac:dyDescent="0.25">
      <c r="A492" s="2" t="s">
        <v>1118</v>
      </c>
      <c r="B492" s="3" t="s">
        <v>1125</v>
      </c>
      <c r="C492" s="2" t="s">
        <v>1126</v>
      </c>
      <c r="D492" s="4">
        <v>500</v>
      </c>
      <c r="E492" s="4"/>
      <c r="F492" s="5">
        <v>501977.58</v>
      </c>
      <c r="I492" s="11">
        <f t="shared" si="14"/>
        <v>500</v>
      </c>
      <c r="J492" t="str">
        <f t="shared" si="15"/>
        <v>DR</v>
      </c>
    </row>
    <row r="493" spans="1:10" x14ac:dyDescent="0.25">
      <c r="A493" s="2" t="s">
        <v>1118</v>
      </c>
      <c r="B493" s="3" t="s">
        <v>1127</v>
      </c>
      <c r="C493" s="2" t="s">
        <v>1128</v>
      </c>
      <c r="D493" s="4">
        <v>19</v>
      </c>
      <c r="E493" s="4"/>
      <c r="F493" s="5">
        <v>501958.58</v>
      </c>
      <c r="I493" s="11">
        <f t="shared" si="14"/>
        <v>19</v>
      </c>
      <c r="J493" t="str">
        <f t="shared" si="15"/>
        <v>DR</v>
      </c>
    </row>
    <row r="494" spans="1:10" x14ac:dyDescent="0.25">
      <c r="A494" s="2" t="s">
        <v>1129</v>
      </c>
      <c r="B494" s="3" t="s">
        <v>1130</v>
      </c>
      <c r="C494" s="2" t="s">
        <v>1131</v>
      </c>
      <c r="D494" s="4">
        <v>2000</v>
      </c>
      <c r="E494" s="4"/>
      <c r="F494" s="5">
        <v>499958.58</v>
      </c>
      <c r="I494" s="11">
        <f t="shared" si="14"/>
        <v>2000</v>
      </c>
      <c r="J494" t="str">
        <f t="shared" si="15"/>
        <v>DR</v>
      </c>
    </row>
    <row r="495" spans="1:10" x14ac:dyDescent="0.25">
      <c r="A495" s="2" t="s">
        <v>1132</v>
      </c>
      <c r="B495" s="3" t="s">
        <v>1133</v>
      </c>
      <c r="C495" s="2" t="s">
        <v>1134</v>
      </c>
      <c r="D495" s="4"/>
      <c r="E495" s="4">
        <v>2000</v>
      </c>
      <c r="F495" s="5">
        <v>501958.58</v>
      </c>
      <c r="I495" s="11">
        <f t="shared" si="14"/>
        <v>2000</v>
      </c>
      <c r="J495" t="str">
        <f t="shared" si="15"/>
        <v>CR</v>
      </c>
    </row>
    <row r="496" spans="1:10" x14ac:dyDescent="0.25">
      <c r="A496" s="2" t="s">
        <v>1132</v>
      </c>
      <c r="B496" s="3" t="s">
        <v>1135</v>
      </c>
      <c r="C496" s="2" t="s">
        <v>1136</v>
      </c>
      <c r="D496" s="4"/>
      <c r="E496" s="4">
        <v>63690</v>
      </c>
      <c r="F496" s="5">
        <v>565648.57999999996</v>
      </c>
      <c r="I496" s="11">
        <f t="shared" si="14"/>
        <v>63690</v>
      </c>
      <c r="J496" t="str">
        <f t="shared" si="15"/>
        <v>CR</v>
      </c>
    </row>
    <row r="497" spans="1:10" x14ac:dyDescent="0.25">
      <c r="A497" s="2" t="s">
        <v>1137</v>
      </c>
      <c r="B497" s="3" t="s">
        <v>1138</v>
      </c>
      <c r="C497" s="2" t="s">
        <v>1139</v>
      </c>
      <c r="D497" s="4">
        <v>299</v>
      </c>
      <c r="E497" s="4"/>
      <c r="F497" s="5">
        <v>565349.57999999996</v>
      </c>
      <c r="I497" s="11">
        <f t="shared" si="14"/>
        <v>299</v>
      </c>
      <c r="J497" t="str">
        <f t="shared" si="15"/>
        <v>DR</v>
      </c>
    </row>
    <row r="498" spans="1:10" x14ac:dyDescent="0.25">
      <c r="A498" s="2" t="s">
        <v>1137</v>
      </c>
      <c r="B498" s="3" t="s">
        <v>1140</v>
      </c>
      <c r="C498" s="2" t="s">
        <v>1141</v>
      </c>
      <c r="D498" s="4"/>
      <c r="E498" s="4">
        <v>34310</v>
      </c>
      <c r="F498" s="5">
        <v>599659.57999999996</v>
      </c>
      <c r="I498" s="11">
        <f t="shared" si="14"/>
        <v>34310</v>
      </c>
      <c r="J498" t="str">
        <f t="shared" si="15"/>
        <v>CR</v>
      </c>
    </row>
    <row r="499" spans="1:10" x14ac:dyDescent="0.25">
      <c r="A499" s="2" t="s">
        <v>1142</v>
      </c>
      <c r="B499" s="3" t="s">
        <v>1143</v>
      </c>
      <c r="C499" s="2" t="s">
        <v>1144</v>
      </c>
      <c r="D499" s="4">
        <v>70</v>
      </c>
      <c r="E499" s="4"/>
      <c r="F499" s="5">
        <v>599589.57999999996</v>
      </c>
      <c r="I499" s="11">
        <f t="shared" si="14"/>
        <v>70</v>
      </c>
      <c r="J499" t="str">
        <f t="shared" si="15"/>
        <v>DR</v>
      </c>
    </row>
    <row r="500" spans="1:10" x14ac:dyDescent="0.25">
      <c r="A500" s="2" t="s">
        <v>1145</v>
      </c>
      <c r="B500" s="3" t="s">
        <v>1146</v>
      </c>
      <c r="C500" s="2" t="s">
        <v>1147</v>
      </c>
      <c r="D500" s="4">
        <v>448</v>
      </c>
      <c r="E500" s="4"/>
      <c r="F500" s="5">
        <v>599141.57999999996</v>
      </c>
      <c r="I500" s="11">
        <f t="shared" si="14"/>
        <v>448</v>
      </c>
      <c r="J500" t="str">
        <f t="shared" si="15"/>
        <v>DR</v>
      </c>
    </row>
    <row r="501" spans="1:10" x14ac:dyDescent="0.25">
      <c r="A501" s="2" t="s">
        <v>1145</v>
      </c>
      <c r="B501" s="3" t="s">
        <v>1148</v>
      </c>
      <c r="C501" s="2" t="s">
        <v>1149</v>
      </c>
      <c r="D501" s="4"/>
      <c r="E501" s="4">
        <v>227</v>
      </c>
      <c r="F501" s="5">
        <v>599368.57999999996</v>
      </c>
      <c r="I501" s="11">
        <f t="shared" si="14"/>
        <v>227</v>
      </c>
      <c r="J501" t="str">
        <f t="shared" si="15"/>
        <v>CR</v>
      </c>
    </row>
    <row r="502" spans="1:10" x14ac:dyDescent="0.25">
      <c r="A502" s="2" t="s">
        <v>1150</v>
      </c>
      <c r="B502" s="3" t="s">
        <v>1151</v>
      </c>
      <c r="C502" s="2" t="s">
        <v>1152</v>
      </c>
      <c r="D502" s="4">
        <v>84</v>
      </c>
      <c r="E502" s="4"/>
      <c r="F502" s="5">
        <v>599284.57999999996</v>
      </c>
      <c r="I502" s="11">
        <f t="shared" si="14"/>
        <v>84</v>
      </c>
      <c r="J502" t="str">
        <f t="shared" si="15"/>
        <v>DR</v>
      </c>
    </row>
    <row r="503" spans="1:10" x14ac:dyDescent="0.25">
      <c r="A503" s="2" t="s">
        <v>1153</v>
      </c>
      <c r="B503" s="3" t="s">
        <v>1154</v>
      </c>
      <c r="C503" s="2" t="s">
        <v>1155</v>
      </c>
      <c r="D503" s="4">
        <v>70</v>
      </c>
      <c r="E503" s="4"/>
      <c r="F503" s="5">
        <v>599214.57999999996</v>
      </c>
      <c r="I503" s="11">
        <f t="shared" si="14"/>
        <v>70</v>
      </c>
      <c r="J503" t="str">
        <f t="shared" si="15"/>
        <v>DR</v>
      </c>
    </row>
    <row r="504" spans="1:10" x14ac:dyDescent="0.25">
      <c r="A504" s="2" t="s">
        <v>1153</v>
      </c>
      <c r="B504" s="3" t="s">
        <v>1156</v>
      </c>
      <c r="C504" s="2" t="s">
        <v>1157</v>
      </c>
      <c r="D504" s="4">
        <v>30</v>
      </c>
      <c r="E504" s="4"/>
      <c r="F504" s="5">
        <v>599184.57999999996</v>
      </c>
      <c r="I504" s="11">
        <f t="shared" si="14"/>
        <v>30</v>
      </c>
      <c r="J504" t="str">
        <f t="shared" si="15"/>
        <v>DR</v>
      </c>
    </row>
    <row r="505" spans="1:10" x14ac:dyDescent="0.25">
      <c r="A505" s="2" t="s">
        <v>1158</v>
      </c>
      <c r="B505" s="3" t="s">
        <v>1159</v>
      </c>
      <c r="C505" s="2" t="s">
        <v>1160</v>
      </c>
      <c r="D505" s="4">
        <v>10</v>
      </c>
      <c r="E505" s="4"/>
      <c r="F505" s="5">
        <v>599174.57999999996</v>
      </c>
      <c r="I505" s="11">
        <f t="shared" si="14"/>
        <v>10</v>
      </c>
      <c r="J505" t="str">
        <f t="shared" si="15"/>
        <v>DR</v>
      </c>
    </row>
    <row r="506" spans="1:10" x14ac:dyDescent="0.25">
      <c r="A506" s="2" t="s">
        <v>1158</v>
      </c>
      <c r="B506" s="3" t="s">
        <v>1161</v>
      </c>
      <c r="C506" s="2" t="s">
        <v>1162</v>
      </c>
      <c r="D506" s="4">
        <v>19990</v>
      </c>
      <c r="E506" s="4"/>
      <c r="F506" s="5">
        <v>579184.57999999996</v>
      </c>
      <c r="I506" s="11">
        <f t="shared" si="14"/>
        <v>19990</v>
      </c>
      <c r="J506" t="str">
        <f t="shared" si="15"/>
        <v>DR</v>
      </c>
    </row>
    <row r="507" spans="1:10" x14ac:dyDescent="0.25">
      <c r="A507" s="2" t="s">
        <v>1163</v>
      </c>
      <c r="B507" s="3" t="s">
        <v>1164</v>
      </c>
      <c r="C507" s="2" t="s">
        <v>1165</v>
      </c>
      <c r="D507" s="4">
        <v>3000</v>
      </c>
      <c r="E507" s="4"/>
      <c r="F507" s="5">
        <v>576184.57999999996</v>
      </c>
      <c r="I507" s="11">
        <f t="shared" si="14"/>
        <v>3000</v>
      </c>
      <c r="J507" t="str">
        <f t="shared" si="15"/>
        <v>DR</v>
      </c>
    </row>
    <row r="508" spans="1:10" x14ac:dyDescent="0.25">
      <c r="A508" s="2" t="s">
        <v>1163</v>
      </c>
      <c r="B508" s="3" t="s">
        <v>1166</v>
      </c>
      <c r="C508" s="2" t="s">
        <v>1167</v>
      </c>
      <c r="D508" s="4">
        <v>29</v>
      </c>
      <c r="E508" s="4"/>
      <c r="F508" s="5">
        <v>576155.57999999996</v>
      </c>
      <c r="I508" s="11">
        <f t="shared" si="14"/>
        <v>29</v>
      </c>
      <c r="J508" t="str">
        <f t="shared" si="15"/>
        <v>DR</v>
      </c>
    </row>
    <row r="509" spans="1:10" x14ac:dyDescent="0.25">
      <c r="A509" s="2" t="s">
        <v>1168</v>
      </c>
      <c r="B509" s="3" t="s">
        <v>1169</v>
      </c>
      <c r="C509" s="2" t="s">
        <v>1170</v>
      </c>
      <c r="D509" s="4">
        <v>69</v>
      </c>
      <c r="E509" s="4"/>
      <c r="F509" s="5">
        <v>576086.57999999996</v>
      </c>
      <c r="I509" s="11">
        <f t="shared" si="14"/>
        <v>69</v>
      </c>
      <c r="J509" t="str">
        <f t="shared" si="15"/>
        <v>DR</v>
      </c>
    </row>
    <row r="510" spans="1:10" x14ac:dyDescent="0.25">
      <c r="A510" s="2" t="s">
        <v>1168</v>
      </c>
      <c r="B510" s="3" t="s">
        <v>1171</v>
      </c>
      <c r="C510" s="2" t="s">
        <v>1172</v>
      </c>
      <c r="D510" s="4">
        <v>39</v>
      </c>
      <c r="E510" s="4"/>
      <c r="F510" s="5">
        <v>576047.57999999996</v>
      </c>
      <c r="I510" s="11">
        <f t="shared" si="14"/>
        <v>39</v>
      </c>
      <c r="J510" t="str">
        <f t="shared" si="15"/>
        <v>DR</v>
      </c>
    </row>
    <row r="511" spans="1:10" x14ac:dyDescent="0.25">
      <c r="A511" s="2" t="s">
        <v>1168</v>
      </c>
      <c r="B511" s="3" t="s">
        <v>1173</v>
      </c>
      <c r="C511" s="2" t="s">
        <v>1174</v>
      </c>
      <c r="D511" s="4">
        <v>2</v>
      </c>
      <c r="E511" s="4"/>
      <c r="F511" s="5">
        <v>576045.57999999996</v>
      </c>
      <c r="I511" s="11">
        <f t="shared" si="14"/>
        <v>2</v>
      </c>
      <c r="J511" t="str">
        <f t="shared" si="15"/>
        <v>DR</v>
      </c>
    </row>
    <row r="512" spans="1:10" x14ac:dyDescent="0.25">
      <c r="A512" s="2" t="s">
        <v>1168</v>
      </c>
      <c r="B512" s="3" t="s">
        <v>1175</v>
      </c>
      <c r="C512" s="2" t="s">
        <v>1176</v>
      </c>
      <c r="D512" s="4"/>
      <c r="E512" s="4">
        <v>2</v>
      </c>
      <c r="F512" s="5">
        <v>576047.57999999996</v>
      </c>
      <c r="I512" s="11">
        <f t="shared" si="14"/>
        <v>2</v>
      </c>
      <c r="J512" t="str">
        <f t="shared" si="15"/>
        <v>CR</v>
      </c>
    </row>
    <row r="513" spans="1:10" x14ac:dyDescent="0.25">
      <c r="A513" s="2" t="s">
        <v>1177</v>
      </c>
      <c r="B513" s="3" t="s">
        <v>1178</v>
      </c>
      <c r="C513" s="2" t="s">
        <v>235</v>
      </c>
      <c r="D513" s="4"/>
      <c r="E513" s="4">
        <v>1718</v>
      </c>
      <c r="F513" s="5">
        <v>577765.57999999996</v>
      </c>
      <c r="I513" s="11">
        <f t="shared" si="14"/>
        <v>1718</v>
      </c>
      <c r="J513" t="str">
        <f t="shared" si="15"/>
        <v>CR</v>
      </c>
    </row>
    <row r="514" spans="1:10" x14ac:dyDescent="0.25">
      <c r="A514" s="2" t="s">
        <v>1179</v>
      </c>
      <c r="B514" s="3" t="s">
        <v>1180</v>
      </c>
      <c r="C514" s="2" t="s">
        <v>1181</v>
      </c>
      <c r="D514" s="4">
        <v>1350</v>
      </c>
      <c r="E514" s="4"/>
      <c r="F514" s="5">
        <v>576415.57999999996</v>
      </c>
      <c r="I514" s="11">
        <f t="shared" si="14"/>
        <v>1350</v>
      </c>
      <c r="J514" t="str">
        <f t="shared" si="15"/>
        <v>DR</v>
      </c>
    </row>
    <row r="515" spans="1:10" x14ac:dyDescent="0.25">
      <c r="A515" s="2" t="s">
        <v>1182</v>
      </c>
      <c r="B515" s="3" t="s">
        <v>1183</v>
      </c>
      <c r="C515" s="2" t="s">
        <v>1184</v>
      </c>
      <c r="D515" s="4"/>
      <c r="E515" s="4">
        <v>50000</v>
      </c>
      <c r="F515" s="5">
        <v>626415.57999999996</v>
      </c>
      <c r="I515" s="11">
        <f t="shared" si="14"/>
        <v>50000</v>
      </c>
      <c r="J515" t="str">
        <f t="shared" si="15"/>
        <v>CR</v>
      </c>
    </row>
    <row r="516" spans="1:10" x14ac:dyDescent="0.25">
      <c r="A516" s="2" t="s">
        <v>1185</v>
      </c>
      <c r="B516" s="3" t="s">
        <v>1186</v>
      </c>
      <c r="C516" s="2" t="s">
        <v>1187</v>
      </c>
      <c r="D516" s="4">
        <v>29</v>
      </c>
      <c r="E516" s="4"/>
      <c r="F516" s="5">
        <v>626386.57999999996</v>
      </c>
      <c r="I516" s="11">
        <f t="shared" ref="I516:I579" si="16">+D516+E516</f>
        <v>29</v>
      </c>
      <c r="J516" t="str">
        <f t="shared" ref="J516:J579" si="17">IF(E516=0,"DR","CR")</f>
        <v>DR</v>
      </c>
    </row>
    <row r="517" spans="1:10" x14ac:dyDescent="0.25">
      <c r="A517" s="2" t="s">
        <v>1185</v>
      </c>
      <c r="B517" s="3" t="s">
        <v>1188</v>
      </c>
      <c r="C517" s="2" t="s">
        <v>1189</v>
      </c>
      <c r="D517" s="4">
        <v>470.82</v>
      </c>
      <c r="E517" s="4"/>
      <c r="F517" s="5">
        <v>625915.76</v>
      </c>
      <c r="I517" s="11">
        <f t="shared" si="16"/>
        <v>470.82</v>
      </c>
      <c r="J517" t="str">
        <f t="shared" si="17"/>
        <v>DR</v>
      </c>
    </row>
    <row r="518" spans="1:10" x14ac:dyDescent="0.25">
      <c r="A518" s="2" t="s">
        <v>1190</v>
      </c>
      <c r="B518" s="3" t="s">
        <v>1191</v>
      </c>
      <c r="C518" s="2" t="s">
        <v>1192</v>
      </c>
      <c r="D518" s="4">
        <v>635.85</v>
      </c>
      <c r="E518" s="4"/>
      <c r="F518" s="5">
        <v>625279.91</v>
      </c>
      <c r="I518" s="11">
        <f t="shared" si="16"/>
        <v>635.85</v>
      </c>
      <c r="J518" t="str">
        <f t="shared" si="17"/>
        <v>DR</v>
      </c>
    </row>
    <row r="519" spans="1:10" x14ac:dyDescent="0.25">
      <c r="A519" s="2" t="s">
        <v>1193</v>
      </c>
      <c r="B519" s="3" t="s">
        <v>1194</v>
      </c>
      <c r="C519" s="2" t="s">
        <v>1195</v>
      </c>
      <c r="D519" s="4">
        <v>6000</v>
      </c>
      <c r="E519" s="4"/>
      <c r="F519" s="5">
        <v>619279.91</v>
      </c>
      <c r="I519" s="11">
        <f t="shared" si="16"/>
        <v>6000</v>
      </c>
      <c r="J519" t="str">
        <f t="shared" si="17"/>
        <v>DR</v>
      </c>
    </row>
    <row r="520" spans="1:10" x14ac:dyDescent="0.25">
      <c r="A520" s="2" t="s">
        <v>1196</v>
      </c>
      <c r="B520" s="3" t="s">
        <v>1197</v>
      </c>
      <c r="C520" s="2" t="s">
        <v>1198</v>
      </c>
      <c r="D520" s="4">
        <v>19</v>
      </c>
      <c r="E520" s="4"/>
      <c r="F520" s="5">
        <v>619260.91</v>
      </c>
      <c r="I520" s="11">
        <f t="shared" si="16"/>
        <v>19</v>
      </c>
      <c r="J520" t="str">
        <f t="shared" si="17"/>
        <v>DR</v>
      </c>
    </row>
    <row r="521" spans="1:10" x14ac:dyDescent="0.25">
      <c r="A521" s="2" t="s">
        <v>1199</v>
      </c>
      <c r="B521" s="3" t="s">
        <v>1200</v>
      </c>
      <c r="C521" s="2" t="s">
        <v>1201</v>
      </c>
      <c r="D521" s="4">
        <v>7501.74</v>
      </c>
      <c r="E521" s="4"/>
      <c r="F521" s="5">
        <v>611759.17000000004</v>
      </c>
      <c r="I521" s="11">
        <f t="shared" si="16"/>
        <v>7501.74</v>
      </c>
      <c r="J521" t="str">
        <f t="shared" si="17"/>
        <v>DR</v>
      </c>
    </row>
    <row r="522" spans="1:10" x14ac:dyDescent="0.25">
      <c r="A522" s="2" t="s">
        <v>1199</v>
      </c>
      <c r="B522" s="3" t="s">
        <v>1202</v>
      </c>
      <c r="C522" s="2" t="s">
        <v>1203</v>
      </c>
      <c r="D522" s="4">
        <v>20</v>
      </c>
      <c r="E522" s="4"/>
      <c r="F522" s="5">
        <v>611739.17000000004</v>
      </c>
      <c r="I522" s="11">
        <f t="shared" si="16"/>
        <v>20</v>
      </c>
      <c r="J522" t="str">
        <f t="shared" si="17"/>
        <v>DR</v>
      </c>
    </row>
    <row r="523" spans="1:10" x14ac:dyDescent="0.25">
      <c r="A523" s="2" t="s">
        <v>1204</v>
      </c>
      <c r="B523" s="3" t="s">
        <v>1205</v>
      </c>
      <c r="C523" s="2" t="s">
        <v>1206</v>
      </c>
      <c r="D523" s="4">
        <v>3000</v>
      </c>
      <c r="E523" s="4"/>
      <c r="F523" s="5">
        <v>608739.17000000004</v>
      </c>
      <c r="I523" s="11">
        <f t="shared" si="16"/>
        <v>3000</v>
      </c>
      <c r="J523" t="str">
        <f t="shared" si="17"/>
        <v>DR</v>
      </c>
    </row>
    <row r="524" spans="1:10" x14ac:dyDescent="0.25">
      <c r="A524" s="2" t="s">
        <v>1204</v>
      </c>
      <c r="B524" s="3" t="s">
        <v>1207</v>
      </c>
      <c r="C524" s="2" t="s">
        <v>1208</v>
      </c>
      <c r="D524" s="4">
        <v>560</v>
      </c>
      <c r="E524" s="4"/>
      <c r="F524" s="5">
        <v>608179.17000000004</v>
      </c>
      <c r="I524" s="11">
        <f t="shared" si="16"/>
        <v>560</v>
      </c>
      <c r="J524" t="str">
        <f t="shared" si="17"/>
        <v>DR</v>
      </c>
    </row>
    <row r="525" spans="1:10" x14ac:dyDescent="0.25">
      <c r="A525" s="2" t="s">
        <v>1204</v>
      </c>
      <c r="B525" s="3" t="s">
        <v>1209</v>
      </c>
      <c r="C525" s="2" t="s">
        <v>1210</v>
      </c>
      <c r="D525" s="4">
        <v>10000</v>
      </c>
      <c r="E525" s="4"/>
      <c r="F525" s="5">
        <v>598179.17000000004</v>
      </c>
      <c r="I525" s="11">
        <f t="shared" si="16"/>
        <v>10000</v>
      </c>
      <c r="J525" t="str">
        <f t="shared" si="17"/>
        <v>DR</v>
      </c>
    </row>
    <row r="526" spans="1:10" x14ac:dyDescent="0.25">
      <c r="A526" s="2" t="s">
        <v>1211</v>
      </c>
      <c r="B526" s="3" t="s">
        <v>1212</v>
      </c>
      <c r="C526" s="2"/>
      <c r="D526" s="4"/>
      <c r="E526" s="4">
        <v>1</v>
      </c>
      <c r="F526" s="5">
        <v>598180.17000000004</v>
      </c>
      <c r="I526" s="11">
        <f t="shared" si="16"/>
        <v>1</v>
      </c>
      <c r="J526" t="str">
        <f t="shared" si="17"/>
        <v>CR</v>
      </c>
    </row>
    <row r="527" spans="1:10" x14ac:dyDescent="0.25">
      <c r="A527" s="2" t="s">
        <v>1213</v>
      </c>
      <c r="B527" s="3" t="s">
        <v>1214</v>
      </c>
      <c r="C527" s="2" t="s">
        <v>1215</v>
      </c>
      <c r="D527" s="4">
        <v>521500</v>
      </c>
      <c r="E527" s="4"/>
      <c r="F527" s="5">
        <v>76680.17</v>
      </c>
      <c r="I527" s="11">
        <f t="shared" si="16"/>
        <v>521500</v>
      </c>
      <c r="J527" t="str">
        <f t="shared" si="17"/>
        <v>DR</v>
      </c>
    </row>
    <row r="528" spans="1:10" x14ac:dyDescent="0.25">
      <c r="A528" s="2" t="s">
        <v>1213</v>
      </c>
      <c r="B528" s="3" t="s">
        <v>1216</v>
      </c>
      <c r="C528" s="2" t="s">
        <v>1217</v>
      </c>
      <c r="D528" s="4">
        <v>1484</v>
      </c>
      <c r="E528" s="4"/>
      <c r="F528" s="5">
        <v>75196.17</v>
      </c>
      <c r="I528" s="11">
        <f t="shared" si="16"/>
        <v>1484</v>
      </c>
      <c r="J528" t="str">
        <f t="shared" si="17"/>
        <v>DR</v>
      </c>
    </row>
    <row r="529" spans="1:10" x14ac:dyDescent="0.25">
      <c r="A529" s="2" t="s">
        <v>1218</v>
      </c>
      <c r="B529" s="3" t="s">
        <v>1219</v>
      </c>
      <c r="C529" s="2" t="s">
        <v>1220</v>
      </c>
      <c r="D529" s="4">
        <v>579</v>
      </c>
      <c r="E529" s="4"/>
      <c r="F529" s="5">
        <v>74617.17</v>
      </c>
      <c r="I529" s="11">
        <f t="shared" si="16"/>
        <v>579</v>
      </c>
      <c r="J529" t="str">
        <f t="shared" si="17"/>
        <v>DR</v>
      </c>
    </row>
    <row r="530" spans="1:10" x14ac:dyDescent="0.25">
      <c r="A530" s="2" t="s">
        <v>1221</v>
      </c>
      <c r="B530" s="3" t="s">
        <v>1222</v>
      </c>
      <c r="C530" s="2" t="s">
        <v>1223</v>
      </c>
      <c r="D530" s="4">
        <v>635.85</v>
      </c>
      <c r="E530" s="4"/>
      <c r="F530" s="5">
        <v>73981.320000000007</v>
      </c>
      <c r="I530" s="11">
        <f t="shared" si="16"/>
        <v>635.85</v>
      </c>
      <c r="J530" t="str">
        <f t="shared" si="17"/>
        <v>DR</v>
      </c>
    </row>
    <row r="531" spans="1:10" x14ac:dyDescent="0.25">
      <c r="A531" s="2" t="s">
        <v>1221</v>
      </c>
      <c r="B531" s="3" t="s">
        <v>1224</v>
      </c>
      <c r="C531" s="2" t="s">
        <v>1225</v>
      </c>
      <c r="D531" s="4"/>
      <c r="E531" s="4">
        <v>370</v>
      </c>
      <c r="F531" s="5">
        <v>74351.320000000007</v>
      </c>
      <c r="I531" s="11">
        <f t="shared" si="16"/>
        <v>370</v>
      </c>
      <c r="J531" t="str">
        <f t="shared" si="17"/>
        <v>CR</v>
      </c>
    </row>
    <row r="532" spans="1:10" x14ac:dyDescent="0.25">
      <c r="A532" s="2" t="s">
        <v>1226</v>
      </c>
      <c r="B532" s="3" t="s">
        <v>1227</v>
      </c>
      <c r="C532" s="2" t="s">
        <v>1228</v>
      </c>
      <c r="D532" s="4">
        <v>19</v>
      </c>
      <c r="E532" s="4"/>
      <c r="F532" s="5">
        <v>74332.320000000007</v>
      </c>
      <c r="I532" s="11">
        <f t="shared" si="16"/>
        <v>19</v>
      </c>
      <c r="J532" t="str">
        <f t="shared" si="17"/>
        <v>DR</v>
      </c>
    </row>
    <row r="533" spans="1:10" x14ac:dyDescent="0.25">
      <c r="A533" s="2" t="s">
        <v>1229</v>
      </c>
      <c r="B533" s="3" t="s">
        <v>1230</v>
      </c>
      <c r="C533" s="2" t="s">
        <v>1231</v>
      </c>
      <c r="D533" s="4">
        <v>218.15</v>
      </c>
      <c r="E533" s="4"/>
      <c r="F533" s="5">
        <v>74114.17</v>
      </c>
      <c r="I533" s="11">
        <f t="shared" si="16"/>
        <v>218.15</v>
      </c>
      <c r="J533" t="str">
        <f t="shared" si="17"/>
        <v>DR</v>
      </c>
    </row>
    <row r="534" spans="1:10" x14ac:dyDescent="0.25">
      <c r="A534" s="2" t="s">
        <v>1229</v>
      </c>
      <c r="B534" s="3" t="s">
        <v>1232</v>
      </c>
      <c r="C534" s="2" t="s">
        <v>1233</v>
      </c>
      <c r="D534" s="4">
        <v>14</v>
      </c>
      <c r="E534" s="4"/>
      <c r="F534" s="5">
        <v>74100.17</v>
      </c>
      <c r="I534" s="11">
        <f t="shared" si="16"/>
        <v>14</v>
      </c>
      <c r="J534" t="str">
        <f t="shared" si="17"/>
        <v>DR</v>
      </c>
    </row>
    <row r="535" spans="1:10" x14ac:dyDescent="0.25">
      <c r="A535" s="2" t="s">
        <v>1234</v>
      </c>
      <c r="B535" s="3" t="s">
        <v>1235</v>
      </c>
      <c r="C535" s="2" t="s">
        <v>1236</v>
      </c>
      <c r="D535" s="4">
        <v>1000</v>
      </c>
      <c r="E535" s="4"/>
      <c r="F535" s="5">
        <v>73100.17</v>
      </c>
      <c r="I535" s="11">
        <f t="shared" si="16"/>
        <v>1000</v>
      </c>
      <c r="J535" t="str">
        <f t="shared" si="17"/>
        <v>DR</v>
      </c>
    </row>
    <row r="536" spans="1:10" x14ac:dyDescent="0.25">
      <c r="A536" s="2" t="s">
        <v>1237</v>
      </c>
      <c r="B536" s="3" t="s">
        <v>1238</v>
      </c>
      <c r="C536" s="2" t="s">
        <v>1239</v>
      </c>
      <c r="D536" s="4">
        <v>859</v>
      </c>
      <c r="E536" s="4"/>
      <c r="F536" s="5">
        <v>72241.17</v>
      </c>
      <c r="I536" s="11">
        <f t="shared" si="16"/>
        <v>859</v>
      </c>
      <c r="J536" t="str">
        <f t="shared" si="17"/>
        <v>DR</v>
      </c>
    </row>
    <row r="537" spans="1:10" x14ac:dyDescent="0.25">
      <c r="A537" s="2" t="s">
        <v>1240</v>
      </c>
      <c r="B537" s="3" t="s">
        <v>1241</v>
      </c>
      <c r="C537" s="2" t="s">
        <v>1242</v>
      </c>
      <c r="D537" s="4">
        <v>69</v>
      </c>
      <c r="E537" s="4"/>
      <c r="F537" s="5">
        <v>72172.17</v>
      </c>
      <c r="I537" s="11">
        <f t="shared" si="16"/>
        <v>69</v>
      </c>
      <c r="J537" t="str">
        <f t="shared" si="17"/>
        <v>DR</v>
      </c>
    </row>
    <row r="538" spans="1:10" x14ac:dyDescent="0.25">
      <c r="A538" s="2" t="s">
        <v>1243</v>
      </c>
      <c r="B538" s="3" t="s">
        <v>1244</v>
      </c>
      <c r="C538" s="2" t="s">
        <v>1245</v>
      </c>
      <c r="D538" s="4">
        <v>15280</v>
      </c>
      <c r="E538" s="4"/>
      <c r="F538" s="5">
        <v>56892.17</v>
      </c>
      <c r="I538" s="11">
        <f t="shared" si="16"/>
        <v>15280</v>
      </c>
      <c r="J538" t="str">
        <f t="shared" si="17"/>
        <v>DR</v>
      </c>
    </row>
    <row r="539" spans="1:10" x14ac:dyDescent="0.25">
      <c r="A539" s="2" t="s">
        <v>1246</v>
      </c>
      <c r="B539" s="3" t="s">
        <v>1247</v>
      </c>
      <c r="C539" s="2" t="s">
        <v>1248</v>
      </c>
      <c r="D539" s="4">
        <v>69</v>
      </c>
      <c r="E539" s="4"/>
      <c r="F539" s="5">
        <v>56823.17</v>
      </c>
      <c r="I539" s="11">
        <f t="shared" si="16"/>
        <v>69</v>
      </c>
      <c r="J539" t="str">
        <f t="shared" si="17"/>
        <v>DR</v>
      </c>
    </row>
    <row r="540" spans="1:10" x14ac:dyDescent="0.25">
      <c r="A540" s="2" t="s">
        <v>1249</v>
      </c>
      <c r="B540" s="3" t="s">
        <v>1250</v>
      </c>
      <c r="C540" s="2" t="s">
        <v>1251</v>
      </c>
      <c r="D540" s="4">
        <v>19</v>
      </c>
      <c r="E540" s="4"/>
      <c r="F540" s="5">
        <v>56804.17</v>
      </c>
      <c r="I540" s="11">
        <f t="shared" si="16"/>
        <v>19</v>
      </c>
      <c r="J540" t="str">
        <f t="shared" si="17"/>
        <v>DR</v>
      </c>
    </row>
    <row r="541" spans="1:10" x14ac:dyDescent="0.25">
      <c r="A541" s="2" t="s">
        <v>1252</v>
      </c>
      <c r="B541" s="3" t="s">
        <v>1253</v>
      </c>
      <c r="C541" s="2"/>
      <c r="D541" s="4">
        <v>0.24</v>
      </c>
      <c r="E541" s="4"/>
      <c r="F541" s="5">
        <v>56803.93</v>
      </c>
      <c r="I541" s="11">
        <f t="shared" si="16"/>
        <v>0.24</v>
      </c>
      <c r="J541" t="str">
        <f t="shared" si="17"/>
        <v>DR</v>
      </c>
    </row>
    <row r="542" spans="1:10" x14ac:dyDescent="0.25">
      <c r="A542" s="2" t="s">
        <v>1252</v>
      </c>
      <c r="B542" s="3" t="s">
        <v>1254</v>
      </c>
      <c r="C542" s="2" t="s">
        <v>1255</v>
      </c>
      <c r="D542" s="4">
        <v>6737.2</v>
      </c>
      <c r="E542" s="4"/>
      <c r="F542" s="5">
        <v>50066.73</v>
      </c>
      <c r="I542" s="11">
        <f t="shared" si="16"/>
        <v>6737.2</v>
      </c>
      <c r="J542" t="str">
        <f t="shared" si="17"/>
        <v>DR</v>
      </c>
    </row>
    <row r="543" spans="1:10" x14ac:dyDescent="0.25">
      <c r="A543" s="2" t="s">
        <v>1256</v>
      </c>
      <c r="B543" s="3" t="s">
        <v>1257</v>
      </c>
      <c r="C543" s="2" t="s">
        <v>1258</v>
      </c>
      <c r="D543" s="4">
        <v>470.82</v>
      </c>
      <c r="E543" s="4"/>
      <c r="F543" s="5">
        <v>49595.91</v>
      </c>
      <c r="I543" s="11">
        <f t="shared" si="16"/>
        <v>470.82</v>
      </c>
      <c r="J543" t="str">
        <f t="shared" si="17"/>
        <v>DR</v>
      </c>
    </row>
    <row r="544" spans="1:10" x14ac:dyDescent="0.25">
      <c r="A544" s="2" t="s">
        <v>1259</v>
      </c>
      <c r="B544" s="3" t="s">
        <v>1260</v>
      </c>
      <c r="C544" s="2" t="s">
        <v>1261</v>
      </c>
      <c r="D544" s="4">
        <v>19</v>
      </c>
      <c r="E544" s="4"/>
      <c r="F544" s="5">
        <v>49576.91</v>
      </c>
      <c r="I544" s="11">
        <f t="shared" si="16"/>
        <v>19</v>
      </c>
      <c r="J544" t="str">
        <f t="shared" si="17"/>
        <v>DR</v>
      </c>
    </row>
    <row r="545" spans="1:10" x14ac:dyDescent="0.25">
      <c r="A545" s="2" t="s">
        <v>1262</v>
      </c>
      <c r="B545" s="3" t="s">
        <v>1263</v>
      </c>
      <c r="C545" s="2" t="s">
        <v>1264</v>
      </c>
      <c r="D545" s="4">
        <v>19</v>
      </c>
      <c r="E545" s="4"/>
      <c r="F545" s="5">
        <v>49557.91</v>
      </c>
      <c r="I545" s="11">
        <f t="shared" si="16"/>
        <v>19</v>
      </c>
      <c r="J545" t="str">
        <f t="shared" si="17"/>
        <v>DR</v>
      </c>
    </row>
    <row r="546" spans="1:10" x14ac:dyDescent="0.25">
      <c r="A546" s="2" t="s">
        <v>1265</v>
      </c>
      <c r="B546" s="3" t="s">
        <v>1266</v>
      </c>
      <c r="C546" s="2" t="s">
        <v>1267</v>
      </c>
      <c r="D546" s="4">
        <v>10000</v>
      </c>
      <c r="E546" s="4"/>
      <c r="F546" s="5">
        <v>39557.910000000003</v>
      </c>
      <c r="I546" s="11">
        <f t="shared" si="16"/>
        <v>10000</v>
      </c>
      <c r="J546" t="str">
        <f t="shared" si="17"/>
        <v>DR</v>
      </c>
    </row>
    <row r="547" spans="1:10" x14ac:dyDescent="0.25">
      <c r="A547" s="2" t="s">
        <v>1268</v>
      </c>
      <c r="B547" s="3" t="s">
        <v>1269</v>
      </c>
      <c r="C547" s="2" t="s">
        <v>1270</v>
      </c>
      <c r="D547" s="4">
        <v>2735.4</v>
      </c>
      <c r="E547" s="4"/>
      <c r="F547" s="5">
        <v>36822.51</v>
      </c>
      <c r="I547" s="11">
        <f t="shared" si="16"/>
        <v>2735.4</v>
      </c>
      <c r="J547" t="str">
        <f t="shared" si="17"/>
        <v>DR</v>
      </c>
    </row>
    <row r="548" spans="1:10" x14ac:dyDescent="0.25">
      <c r="A548" s="2" t="s">
        <v>1268</v>
      </c>
      <c r="B548" s="3" t="s">
        <v>1271</v>
      </c>
      <c r="C548" s="2" t="s">
        <v>1272</v>
      </c>
      <c r="D548" s="4">
        <v>6321.78</v>
      </c>
      <c r="E548" s="4"/>
      <c r="F548" s="5">
        <v>30500.73</v>
      </c>
      <c r="I548" s="11">
        <f t="shared" si="16"/>
        <v>6321.78</v>
      </c>
      <c r="J548" t="str">
        <f t="shared" si="17"/>
        <v>DR</v>
      </c>
    </row>
    <row r="549" spans="1:10" x14ac:dyDescent="0.25">
      <c r="A549" s="2" t="s">
        <v>1273</v>
      </c>
      <c r="B549" s="3" t="s">
        <v>1274</v>
      </c>
      <c r="C549" s="2" t="s">
        <v>1275</v>
      </c>
      <c r="D549" s="4">
        <v>14</v>
      </c>
      <c r="E549" s="4"/>
      <c r="F549" s="5">
        <v>30486.73</v>
      </c>
      <c r="I549" s="11">
        <f t="shared" si="16"/>
        <v>14</v>
      </c>
      <c r="J549" t="str">
        <f t="shared" si="17"/>
        <v>DR</v>
      </c>
    </row>
    <row r="550" spans="1:10" x14ac:dyDescent="0.25">
      <c r="A550" s="2" t="s">
        <v>1276</v>
      </c>
      <c r="B550" s="3" t="s">
        <v>1277</v>
      </c>
      <c r="C550" s="2" t="s">
        <v>1278</v>
      </c>
      <c r="D550" s="4">
        <v>100</v>
      </c>
      <c r="E550" s="4"/>
      <c r="F550" s="5">
        <v>30386.73</v>
      </c>
      <c r="I550" s="11">
        <f t="shared" si="16"/>
        <v>100</v>
      </c>
      <c r="J550" t="str">
        <f t="shared" si="17"/>
        <v>DR</v>
      </c>
    </row>
    <row r="551" spans="1:10" x14ac:dyDescent="0.25">
      <c r="A551" s="2" t="s">
        <v>1279</v>
      </c>
      <c r="B551" s="3" t="s">
        <v>1280</v>
      </c>
      <c r="C551" s="2" t="s">
        <v>1281</v>
      </c>
      <c r="D551" s="4">
        <v>120</v>
      </c>
      <c r="E551" s="4"/>
      <c r="F551" s="5">
        <v>30266.73</v>
      </c>
      <c r="I551" s="11">
        <f t="shared" si="16"/>
        <v>120</v>
      </c>
      <c r="J551" t="str">
        <f t="shared" si="17"/>
        <v>DR</v>
      </c>
    </row>
    <row r="552" spans="1:10" x14ac:dyDescent="0.25">
      <c r="A552" s="2" t="s">
        <v>1279</v>
      </c>
      <c r="B552" s="3" t="s">
        <v>1282</v>
      </c>
      <c r="C552" s="2" t="s">
        <v>1283</v>
      </c>
      <c r="D552" s="4">
        <v>60</v>
      </c>
      <c r="E552" s="4"/>
      <c r="F552" s="5">
        <v>30206.73</v>
      </c>
      <c r="I552" s="11">
        <f t="shared" si="16"/>
        <v>60</v>
      </c>
      <c r="J552" t="str">
        <f t="shared" si="17"/>
        <v>DR</v>
      </c>
    </row>
    <row r="553" spans="1:10" x14ac:dyDescent="0.25">
      <c r="A553" s="2" t="s">
        <v>1284</v>
      </c>
      <c r="B553" s="3" t="s">
        <v>1285</v>
      </c>
      <c r="C553" s="2" t="s">
        <v>1286</v>
      </c>
      <c r="D553" s="4">
        <v>19</v>
      </c>
      <c r="E553" s="4"/>
      <c r="F553" s="5">
        <v>30187.73</v>
      </c>
      <c r="I553" s="11">
        <f t="shared" si="16"/>
        <v>19</v>
      </c>
      <c r="J553" t="str">
        <f t="shared" si="17"/>
        <v>DR</v>
      </c>
    </row>
    <row r="554" spans="1:10" x14ac:dyDescent="0.25">
      <c r="A554" s="2" t="s">
        <v>1287</v>
      </c>
      <c r="B554" s="3" t="s">
        <v>1288</v>
      </c>
      <c r="C554" s="2" t="s">
        <v>1289</v>
      </c>
      <c r="D554" s="4">
        <v>120</v>
      </c>
      <c r="E554" s="4"/>
      <c r="F554" s="5">
        <v>30067.73</v>
      </c>
      <c r="I554" s="11">
        <f t="shared" si="16"/>
        <v>120</v>
      </c>
      <c r="J554" t="str">
        <f t="shared" si="17"/>
        <v>DR</v>
      </c>
    </row>
    <row r="555" spans="1:10" x14ac:dyDescent="0.25">
      <c r="A555" s="2" t="s">
        <v>1287</v>
      </c>
      <c r="B555" s="3" t="s">
        <v>1290</v>
      </c>
      <c r="C555" s="2" t="s">
        <v>1291</v>
      </c>
      <c r="D555" s="4">
        <v>19</v>
      </c>
      <c r="E555" s="4"/>
      <c r="F555" s="5">
        <v>30048.73</v>
      </c>
      <c r="I555" s="11">
        <f t="shared" si="16"/>
        <v>19</v>
      </c>
      <c r="J555" t="str">
        <f t="shared" si="17"/>
        <v>DR</v>
      </c>
    </row>
    <row r="556" spans="1:10" x14ac:dyDescent="0.25">
      <c r="A556" s="2" t="s">
        <v>1287</v>
      </c>
      <c r="B556" s="3" t="s">
        <v>1292</v>
      </c>
      <c r="C556" s="2" t="s">
        <v>1293</v>
      </c>
      <c r="D556" s="4">
        <v>350</v>
      </c>
      <c r="E556" s="4"/>
      <c r="F556" s="5">
        <v>29698.73</v>
      </c>
      <c r="I556" s="11">
        <f t="shared" si="16"/>
        <v>350</v>
      </c>
      <c r="J556" t="str">
        <f t="shared" si="17"/>
        <v>DR</v>
      </c>
    </row>
    <row r="557" spans="1:10" x14ac:dyDescent="0.25">
      <c r="A557" s="2" t="s">
        <v>1294</v>
      </c>
      <c r="B557" s="3" t="s">
        <v>1295</v>
      </c>
      <c r="C557" s="2" t="s">
        <v>1296</v>
      </c>
      <c r="D557" s="4">
        <v>19</v>
      </c>
      <c r="E557" s="4"/>
      <c r="F557" s="5">
        <v>29679.73</v>
      </c>
      <c r="I557" s="11">
        <f t="shared" si="16"/>
        <v>19</v>
      </c>
      <c r="J557" t="str">
        <f t="shared" si="17"/>
        <v>DR</v>
      </c>
    </row>
    <row r="558" spans="1:10" x14ac:dyDescent="0.25">
      <c r="A558" s="2" t="s">
        <v>1297</v>
      </c>
      <c r="B558" s="3" t="s">
        <v>1298</v>
      </c>
      <c r="C558" s="2" t="s">
        <v>1299</v>
      </c>
      <c r="D558" s="4">
        <v>29</v>
      </c>
      <c r="E558" s="4"/>
      <c r="F558" s="5">
        <v>29650.73</v>
      </c>
      <c r="I558" s="11">
        <f t="shared" si="16"/>
        <v>29</v>
      </c>
      <c r="J558" t="str">
        <f t="shared" si="17"/>
        <v>DR</v>
      </c>
    </row>
    <row r="559" spans="1:10" x14ac:dyDescent="0.25">
      <c r="A559" s="2" t="s">
        <v>1297</v>
      </c>
      <c r="B559" s="3" t="s">
        <v>1300</v>
      </c>
      <c r="C559" s="2" t="s">
        <v>1301</v>
      </c>
      <c r="D559" s="4">
        <v>55</v>
      </c>
      <c r="E559" s="4"/>
      <c r="F559" s="5">
        <v>29595.73</v>
      </c>
      <c r="I559" s="11">
        <f t="shared" si="16"/>
        <v>55</v>
      </c>
      <c r="J559" t="str">
        <f t="shared" si="17"/>
        <v>DR</v>
      </c>
    </row>
    <row r="560" spans="1:10" x14ac:dyDescent="0.25">
      <c r="A560" s="2" t="s">
        <v>1302</v>
      </c>
      <c r="B560" s="3" t="s">
        <v>1303</v>
      </c>
      <c r="C560" s="2" t="s">
        <v>1304</v>
      </c>
      <c r="D560" s="4">
        <v>600</v>
      </c>
      <c r="E560" s="4"/>
      <c r="F560" s="5">
        <v>28995.73</v>
      </c>
      <c r="I560" s="11">
        <f t="shared" si="16"/>
        <v>600</v>
      </c>
      <c r="J560" t="str">
        <f t="shared" si="17"/>
        <v>DR</v>
      </c>
    </row>
    <row r="561" spans="1:10" x14ac:dyDescent="0.25">
      <c r="A561" s="2" t="s">
        <v>1305</v>
      </c>
      <c r="B561" s="3" t="s">
        <v>1306</v>
      </c>
      <c r="C561" s="2" t="s">
        <v>1307</v>
      </c>
      <c r="D561" s="4">
        <v>80</v>
      </c>
      <c r="E561" s="4"/>
      <c r="F561" s="5">
        <v>28915.73</v>
      </c>
      <c r="I561" s="11">
        <f t="shared" si="16"/>
        <v>80</v>
      </c>
      <c r="J561" t="str">
        <f t="shared" si="17"/>
        <v>DR</v>
      </c>
    </row>
    <row r="562" spans="1:10" x14ac:dyDescent="0.25">
      <c r="A562" s="2" t="s">
        <v>1308</v>
      </c>
      <c r="B562" s="3" t="s">
        <v>1309</v>
      </c>
      <c r="C562" s="2" t="s">
        <v>1310</v>
      </c>
      <c r="D562" s="4">
        <v>99</v>
      </c>
      <c r="E562" s="4"/>
      <c r="F562" s="5">
        <v>28816.73</v>
      </c>
      <c r="I562" s="11">
        <f t="shared" si="16"/>
        <v>99</v>
      </c>
      <c r="J562" t="str">
        <f t="shared" si="17"/>
        <v>DR</v>
      </c>
    </row>
    <row r="563" spans="1:10" x14ac:dyDescent="0.25">
      <c r="A563" s="2" t="s">
        <v>1311</v>
      </c>
      <c r="B563" s="3" t="s">
        <v>1312</v>
      </c>
      <c r="C563" s="2"/>
      <c r="D563" s="4"/>
      <c r="E563" s="4">
        <v>656.31</v>
      </c>
      <c r="F563" s="5">
        <v>29473.040000000001</v>
      </c>
      <c r="I563" s="11">
        <f t="shared" si="16"/>
        <v>656.31</v>
      </c>
      <c r="J563" t="str">
        <f t="shared" si="17"/>
        <v>CR</v>
      </c>
    </row>
    <row r="564" spans="1:10" x14ac:dyDescent="0.25">
      <c r="A564" s="2" t="s">
        <v>1313</v>
      </c>
      <c r="B564" s="3" t="s">
        <v>1314</v>
      </c>
      <c r="C564" s="2" t="s">
        <v>1315</v>
      </c>
      <c r="D564" s="4">
        <v>470.82</v>
      </c>
      <c r="E564" s="4"/>
      <c r="F564" s="5">
        <v>29002.22</v>
      </c>
      <c r="I564" s="11">
        <f t="shared" si="16"/>
        <v>470.82</v>
      </c>
      <c r="J564" t="str">
        <f t="shared" si="17"/>
        <v>DR</v>
      </c>
    </row>
    <row r="565" spans="1:10" x14ac:dyDescent="0.25">
      <c r="A565" s="2" t="s">
        <v>1316</v>
      </c>
      <c r="B565" s="3" t="s">
        <v>1317</v>
      </c>
      <c r="C565" s="2" t="s">
        <v>1318</v>
      </c>
      <c r="D565" s="4">
        <v>70</v>
      </c>
      <c r="E565" s="4"/>
      <c r="F565" s="5">
        <v>28932.22</v>
      </c>
      <c r="I565" s="11">
        <f t="shared" si="16"/>
        <v>70</v>
      </c>
      <c r="J565" t="str">
        <f t="shared" si="17"/>
        <v>DR</v>
      </c>
    </row>
    <row r="566" spans="1:10" x14ac:dyDescent="0.25">
      <c r="A566" s="2" t="s">
        <v>1319</v>
      </c>
      <c r="B566" s="3" t="s">
        <v>1320</v>
      </c>
      <c r="C566" s="2" t="s">
        <v>1321</v>
      </c>
      <c r="D566" s="4">
        <v>20</v>
      </c>
      <c r="E566" s="4"/>
      <c r="F566" s="5">
        <v>28912.22</v>
      </c>
      <c r="I566" s="11">
        <f t="shared" si="16"/>
        <v>20</v>
      </c>
      <c r="J566" t="str">
        <f t="shared" si="17"/>
        <v>DR</v>
      </c>
    </row>
    <row r="567" spans="1:10" x14ac:dyDescent="0.25">
      <c r="A567" s="2" t="s">
        <v>1322</v>
      </c>
      <c r="B567" s="3" t="s">
        <v>1323</v>
      </c>
      <c r="C567" s="2" t="s">
        <v>1324</v>
      </c>
      <c r="D567" s="4">
        <v>299</v>
      </c>
      <c r="E567" s="4"/>
      <c r="F567" s="5">
        <v>28613.22</v>
      </c>
      <c r="I567" s="11">
        <f t="shared" si="16"/>
        <v>299</v>
      </c>
      <c r="J567" t="str">
        <f t="shared" si="17"/>
        <v>DR</v>
      </c>
    </row>
    <row r="568" spans="1:10" x14ac:dyDescent="0.25">
      <c r="A568" s="2" t="s">
        <v>1325</v>
      </c>
      <c r="B568" s="3" t="s">
        <v>1326</v>
      </c>
      <c r="C568" s="2" t="s">
        <v>1327</v>
      </c>
      <c r="D568" s="4">
        <v>199</v>
      </c>
      <c r="E568" s="4"/>
      <c r="F568" s="5">
        <v>28414.22</v>
      </c>
      <c r="I568" s="11">
        <f t="shared" si="16"/>
        <v>199</v>
      </c>
      <c r="J568" t="str">
        <f t="shared" si="17"/>
        <v>DR</v>
      </c>
    </row>
    <row r="569" spans="1:10" x14ac:dyDescent="0.25">
      <c r="A569" s="2" t="s">
        <v>1325</v>
      </c>
      <c r="B569" s="3" t="s">
        <v>1328</v>
      </c>
      <c r="C569" s="2" t="s">
        <v>1329</v>
      </c>
      <c r="D569" s="4">
        <v>1400</v>
      </c>
      <c r="E569" s="4"/>
      <c r="F569" s="5">
        <v>27014.22</v>
      </c>
      <c r="I569" s="11">
        <f t="shared" si="16"/>
        <v>1400</v>
      </c>
      <c r="J569" t="str">
        <f t="shared" si="17"/>
        <v>DR</v>
      </c>
    </row>
    <row r="570" spans="1:10" x14ac:dyDescent="0.25">
      <c r="A570" s="2" t="s">
        <v>1330</v>
      </c>
      <c r="B570" s="3" t="s">
        <v>1331</v>
      </c>
      <c r="C570" s="2" t="s">
        <v>1332</v>
      </c>
      <c r="D570" s="4">
        <v>448</v>
      </c>
      <c r="E570" s="4"/>
      <c r="F570" s="5">
        <v>26566.22</v>
      </c>
      <c r="I570" s="11">
        <f t="shared" si="16"/>
        <v>448</v>
      </c>
      <c r="J570" t="str">
        <f t="shared" si="17"/>
        <v>DR</v>
      </c>
    </row>
    <row r="571" spans="1:10" x14ac:dyDescent="0.25">
      <c r="A571" s="2" t="s">
        <v>1330</v>
      </c>
      <c r="B571" s="3" t="s">
        <v>1333</v>
      </c>
      <c r="C571" s="2" t="s">
        <v>1334</v>
      </c>
      <c r="D571" s="4">
        <v>20</v>
      </c>
      <c r="E571" s="4"/>
      <c r="F571" s="5">
        <v>26546.22</v>
      </c>
      <c r="I571" s="11">
        <f t="shared" si="16"/>
        <v>20</v>
      </c>
      <c r="J571" t="str">
        <f t="shared" si="17"/>
        <v>DR</v>
      </c>
    </row>
    <row r="572" spans="1:10" x14ac:dyDescent="0.25">
      <c r="A572" s="2" t="s">
        <v>1335</v>
      </c>
      <c r="B572" s="3" t="s">
        <v>1336</v>
      </c>
      <c r="C572" s="2"/>
      <c r="D572" s="4">
        <v>0.47</v>
      </c>
      <c r="E572" s="4"/>
      <c r="F572" s="5">
        <v>26545.75</v>
      </c>
      <c r="I572" s="11">
        <f t="shared" si="16"/>
        <v>0.47</v>
      </c>
      <c r="J572" t="str">
        <f t="shared" si="17"/>
        <v>DR</v>
      </c>
    </row>
    <row r="573" spans="1:10" x14ac:dyDescent="0.25">
      <c r="A573" s="2" t="s">
        <v>1335</v>
      </c>
      <c r="B573" s="3" t="s">
        <v>1337</v>
      </c>
      <c r="C573" s="2" t="s">
        <v>1338</v>
      </c>
      <c r="D573" s="4">
        <v>595.85</v>
      </c>
      <c r="E573" s="4"/>
      <c r="F573" s="5">
        <v>25949.9</v>
      </c>
      <c r="I573" s="11">
        <f t="shared" si="16"/>
        <v>595.85</v>
      </c>
      <c r="J573" t="str">
        <f t="shared" si="17"/>
        <v>DR</v>
      </c>
    </row>
    <row r="574" spans="1:10" x14ac:dyDescent="0.25">
      <c r="A574" s="2" t="s">
        <v>1339</v>
      </c>
      <c r="B574" s="3" t="s">
        <v>1340</v>
      </c>
      <c r="C574" s="2" t="s">
        <v>1341</v>
      </c>
      <c r="D574" s="4"/>
      <c r="E574" s="4">
        <v>255</v>
      </c>
      <c r="F574" s="5">
        <v>26204.9</v>
      </c>
      <c r="I574" s="11">
        <f t="shared" si="16"/>
        <v>255</v>
      </c>
      <c r="J574" t="str">
        <f t="shared" si="17"/>
        <v>CR</v>
      </c>
    </row>
    <row r="575" spans="1:10" x14ac:dyDescent="0.25">
      <c r="A575" s="2" t="s">
        <v>1339</v>
      </c>
      <c r="B575" s="3" t="s">
        <v>1342</v>
      </c>
      <c r="C575" s="2" t="s">
        <v>1343</v>
      </c>
      <c r="D575" s="4">
        <v>80</v>
      </c>
      <c r="E575" s="4"/>
      <c r="F575" s="5">
        <v>26124.9</v>
      </c>
      <c r="I575" s="11">
        <f t="shared" si="16"/>
        <v>80</v>
      </c>
      <c r="J575" t="str">
        <f t="shared" si="17"/>
        <v>DR</v>
      </c>
    </row>
    <row r="576" spans="1:10" x14ac:dyDescent="0.25">
      <c r="A576" s="2" t="s">
        <v>1344</v>
      </c>
      <c r="B576" s="3" t="s">
        <v>1345</v>
      </c>
      <c r="C576" s="2"/>
      <c r="D576" s="4"/>
      <c r="E576" s="4">
        <v>50000</v>
      </c>
      <c r="F576" s="5">
        <v>76124.899999999994</v>
      </c>
      <c r="I576" s="11">
        <f t="shared" si="16"/>
        <v>50000</v>
      </c>
      <c r="J576" t="str">
        <f t="shared" si="17"/>
        <v>CR</v>
      </c>
    </row>
    <row r="577" spans="1:10" x14ac:dyDescent="0.25">
      <c r="A577" s="2" t="s">
        <v>1346</v>
      </c>
      <c r="B577" s="3" t="s">
        <v>1347</v>
      </c>
      <c r="C577" s="2" t="s">
        <v>1348</v>
      </c>
      <c r="D577" s="4">
        <v>29</v>
      </c>
      <c r="E577" s="4"/>
      <c r="F577" s="5">
        <v>76095.899999999994</v>
      </c>
      <c r="I577" s="11">
        <f t="shared" si="16"/>
        <v>29</v>
      </c>
      <c r="J577" t="str">
        <f t="shared" si="17"/>
        <v>DR</v>
      </c>
    </row>
    <row r="578" spans="1:10" x14ac:dyDescent="0.25">
      <c r="A578" s="2" t="s">
        <v>1346</v>
      </c>
      <c r="B578" s="3" t="s">
        <v>1349</v>
      </c>
      <c r="C578" s="2" t="s">
        <v>1350</v>
      </c>
      <c r="D578" s="4">
        <v>33</v>
      </c>
      <c r="E578" s="4"/>
      <c r="F578" s="5">
        <v>76062.899999999994</v>
      </c>
      <c r="I578" s="11">
        <f t="shared" si="16"/>
        <v>33</v>
      </c>
      <c r="J578" t="str">
        <f t="shared" si="17"/>
        <v>DR</v>
      </c>
    </row>
    <row r="579" spans="1:10" x14ac:dyDescent="0.25">
      <c r="A579" s="2" t="s">
        <v>1346</v>
      </c>
      <c r="B579" s="3" t="s">
        <v>1351</v>
      </c>
      <c r="C579" s="2" t="s">
        <v>1352</v>
      </c>
      <c r="D579" s="4">
        <v>30</v>
      </c>
      <c r="E579" s="4"/>
      <c r="F579" s="5">
        <v>76032.899999999994</v>
      </c>
      <c r="I579" s="11">
        <f t="shared" si="16"/>
        <v>30</v>
      </c>
      <c r="J579" t="str">
        <f t="shared" si="17"/>
        <v>DR</v>
      </c>
    </row>
    <row r="580" spans="1:10" x14ac:dyDescent="0.25">
      <c r="A580" s="2" t="s">
        <v>1353</v>
      </c>
      <c r="B580" s="3" t="s">
        <v>1354</v>
      </c>
      <c r="C580" s="2" t="s">
        <v>1355</v>
      </c>
      <c r="D580" s="4">
        <v>1623.9</v>
      </c>
      <c r="E580" s="4"/>
      <c r="F580" s="5">
        <v>74409</v>
      </c>
      <c r="I580" s="11">
        <f t="shared" ref="I580:I643" si="18">+D580+E580</f>
        <v>1623.9</v>
      </c>
      <c r="J580" t="str">
        <f t="shared" ref="J580:J643" si="19">IF(E580=0,"DR","CR")</f>
        <v>DR</v>
      </c>
    </row>
    <row r="581" spans="1:10" x14ac:dyDescent="0.25">
      <c r="A581" s="2" t="s">
        <v>1353</v>
      </c>
      <c r="B581" s="3" t="s">
        <v>1356</v>
      </c>
      <c r="C581" s="2" t="s">
        <v>1357</v>
      </c>
      <c r="D581" s="4"/>
      <c r="E581" s="4">
        <v>40</v>
      </c>
      <c r="F581" s="5">
        <v>74449</v>
      </c>
      <c r="I581" s="11">
        <f t="shared" si="18"/>
        <v>40</v>
      </c>
      <c r="J581" t="str">
        <f t="shared" si="19"/>
        <v>CR</v>
      </c>
    </row>
    <row r="582" spans="1:10" x14ac:dyDescent="0.25">
      <c r="A582" s="2" t="s">
        <v>1353</v>
      </c>
      <c r="B582" s="3" t="s">
        <v>1358</v>
      </c>
      <c r="C582" s="2" t="s">
        <v>1359</v>
      </c>
      <c r="D582" s="4">
        <v>25000</v>
      </c>
      <c r="E582" s="4"/>
      <c r="F582" s="5">
        <v>49449</v>
      </c>
      <c r="I582" s="11">
        <f t="shared" si="18"/>
        <v>25000</v>
      </c>
      <c r="J582" t="str">
        <f t="shared" si="19"/>
        <v>DR</v>
      </c>
    </row>
    <row r="583" spans="1:10" x14ac:dyDescent="0.25">
      <c r="A583" s="2" t="s">
        <v>1360</v>
      </c>
      <c r="B583" s="3" t="s">
        <v>1361</v>
      </c>
      <c r="C583" s="2" t="s">
        <v>1362</v>
      </c>
      <c r="D583" s="4">
        <v>230</v>
      </c>
      <c r="E583" s="4"/>
      <c r="F583" s="5">
        <v>49219</v>
      </c>
      <c r="I583" s="11">
        <f t="shared" si="18"/>
        <v>230</v>
      </c>
      <c r="J583" t="str">
        <f t="shared" si="19"/>
        <v>DR</v>
      </c>
    </row>
    <row r="584" spans="1:10" x14ac:dyDescent="0.25">
      <c r="A584" s="2" t="s">
        <v>1360</v>
      </c>
      <c r="B584" s="3" t="s">
        <v>1363</v>
      </c>
      <c r="C584" s="2" t="s">
        <v>1364</v>
      </c>
      <c r="D584" s="4">
        <v>25000</v>
      </c>
      <c r="E584" s="4"/>
      <c r="F584" s="5">
        <v>24219</v>
      </c>
      <c r="I584" s="11">
        <f t="shared" si="18"/>
        <v>25000</v>
      </c>
      <c r="J584" t="str">
        <f t="shared" si="19"/>
        <v>DR</v>
      </c>
    </row>
    <row r="585" spans="1:10" x14ac:dyDescent="0.25">
      <c r="A585" s="2" t="s">
        <v>1360</v>
      </c>
      <c r="B585" s="3" t="s">
        <v>1365</v>
      </c>
      <c r="C585" s="2" t="s">
        <v>1366</v>
      </c>
      <c r="D585" s="4">
        <v>840</v>
      </c>
      <c r="E585" s="4"/>
      <c r="F585" s="5">
        <v>23379</v>
      </c>
      <c r="I585" s="11">
        <f t="shared" si="18"/>
        <v>840</v>
      </c>
      <c r="J585" t="str">
        <f t="shared" si="19"/>
        <v>DR</v>
      </c>
    </row>
    <row r="586" spans="1:10" x14ac:dyDescent="0.25">
      <c r="A586" s="2" t="s">
        <v>1360</v>
      </c>
      <c r="B586" s="3" t="s">
        <v>1367</v>
      </c>
      <c r="C586" s="2" t="s">
        <v>1368</v>
      </c>
      <c r="D586" s="4">
        <v>2449.46</v>
      </c>
      <c r="E586" s="4"/>
      <c r="F586" s="5">
        <v>20929.54</v>
      </c>
      <c r="I586" s="11">
        <f t="shared" si="18"/>
        <v>2449.46</v>
      </c>
      <c r="J586" t="str">
        <f t="shared" si="19"/>
        <v>DR</v>
      </c>
    </row>
    <row r="587" spans="1:10" x14ac:dyDescent="0.25">
      <c r="A587" s="2" t="s">
        <v>1360</v>
      </c>
      <c r="B587" s="3" t="s">
        <v>1369</v>
      </c>
      <c r="C587" s="2" t="s">
        <v>1370</v>
      </c>
      <c r="D587" s="4">
        <v>1999</v>
      </c>
      <c r="E587" s="4"/>
      <c r="F587" s="5">
        <v>18930.54</v>
      </c>
      <c r="I587" s="11">
        <f t="shared" si="18"/>
        <v>1999</v>
      </c>
      <c r="J587" t="str">
        <f t="shared" si="19"/>
        <v>DR</v>
      </c>
    </row>
    <row r="588" spans="1:10" x14ac:dyDescent="0.25">
      <c r="A588" s="2" t="s">
        <v>1360</v>
      </c>
      <c r="B588" s="3" t="s">
        <v>1371</v>
      </c>
      <c r="C588" s="2" t="s">
        <v>1372</v>
      </c>
      <c r="D588" s="4"/>
      <c r="E588" s="4">
        <v>6000</v>
      </c>
      <c r="F588" s="5">
        <v>24930.54</v>
      </c>
      <c r="I588" s="11">
        <f t="shared" si="18"/>
        <v>6000</v>
      </c>
      <c r="J588" t="str">
        <f t="shared" si="19"/>
        <v>CR</v>
      </c>
    </row>
    <row r="589" spans="1:10" x14ac:dyDescent="0.25">
      <c r="A589" s="2" t="s">
        <v>1360</v>
      </c>
      <c r="B589" s="3" t="s">
        <v>1373</v>
      </c>
      <c r="C589" s="2" t="s">
        <v>1374</v>
      </c>
      <c r="D589" s="4">
        <v>640</v>
      </c>
      <c r="E589" s="4"/>
      <c r="F589" s="5">
        <v>24290.54</v>
      </c>
      <c r="I589" s="11">
        <f t="shared" si="18"/>
        <v>640</v>
      </c>
      <c r="J589" t="str">
        <f t="shared" si="19"/>
        <v>DR</v>
      </c>
    </row>
    <row r="590" spans="1:10" x14ac:dyDescent="0.25">
      <c r="A590" s="2" t="s">
        <v>1375</v>
      </c>
      <c r="B590" s="3" t="s">
        <v>1376</v>
      </c>
      <c r="C590" s="2" t="s">
        <v>1377</v>
      </c>
      <c r="D590" s="4"/>
      <c r="E590" s="4">
        <v>1000</v>
      </c>
      <c r="F590" s="5">
        <v>25290.54</v>
      </c>
      <c r="I590" s="11">
        <f t="shared" si="18"/>
        <v>1000</v>
      </c>
      <c r="J590" t="str">
        <f t="shared" si="19"/>
        <v>CR</v>
      </c>
    </row>
    <row r="591" spans="1:10" x14ac:dyDescent="0.25">
      <c r="A591" s="2" t="s">
        <v>1375</v>
      </c>
      <c r="B591" s="3" t="s">
        <v>1378</v>
      </c>
      <c r="C591" s="2" t="s">
        <v>1379</v>
      </c>
      <c r="D591" s="4"/>
      <c r="E591" s="4">
        <v>3800</v>
      </c>
      <c r="F591" s="5">
        <v>29090.54</v>
      </c>
      <c r="I591" s="11">
        <f t="shared" si="18"/>
        <v>3800</v>
      </c>
      <c r="J591" t="str">
        <f t="shared" si="19"/>
        <v>CR</v>
      </c>
    </row>
    <row r="592" spans="1:10" x14ac:dyDescent="0.25">
      <c r="A592" s="2" t="s">
        <v>1380</v>
      </c>
      <c r="B592" s="3" t="s">
        <v>1381</v>
      </c>
      <c r="C592" s="2" t="s">
        <v>1382</v>
      </c>
      <c r="D592" s="4"/>
      <c r="E592" s="4">
        <v>1550</v>
      </c>
      <c r="F592" s="5">
        <v>30640.54</v>
      </c>
      <c r="I592" s="11">
        <f t="shared" si="18"/>
        <v>1550</v>
      </c>
      <c r="J592" t="str">
        <f t="shared" si="19"/>
        <v>CR</v>
      </c>
    </row>
    <row r="593" spans="1:10" x14ac:dyDescent="0.25">
      <c r="A593" s="2" t="s">
        <v>1383</v>
      </c>
      <c r="B593" s="3" t="s">
        <v>1384</v>
      </c>
      <c r="C593" s="2" t="s">
        <v>1385</v>
      </c>
      <c r="D593" s="4">
        <v>840</v>
      </c>
      <c r="E593" s="4"/>
      <c r="F593" s="5">
        <v>29800.54</v>
      </c>
      <c r="I593" s="11">
        <f t="shared" si="18"/>
        <v>840</v>
      </c>
      <c r="J593" t="str">
        <f t="shared" si="19"/>
        <v>DR</v>
      </c>
    </row>
    <row r="594" spans="1:10" x14ac:dyDescent="0.25">
      <c r="A594" s="2" t="s">
        <v>1383</v>
      </c>
      <c r="B594" s="3" t="s">
        <v>1386</v>
      </c>
      <c r="C594" s="2" t="s">
        <v>1387</v>
      </c>
      <c r="D594" s="4">
        <v>19</v>
      </c>
      <c r="E594" s="4"/>
      <c r="F594" s="5">
        <v>29781.54</v>
      </c>
      <c r="I594" s="11">
        <f t="shared" si="18"/>
        <v>19</v>
      </c>
      <c r="J594" t="str">
        <f t="shared" si="19"/>
        <v>DR</v>
      </c>
    </row>
    <row r="595" spans="1:10" x14ac:dyDescent="0.25">
      <c r="A595" s="2" t="s">
        <v>1388</v>
      </c>
      <c r="B595" s="3" t="s">
        <v>1389</v>
      </c>
      <c r="C595" s="2" t="s">
        <v>1390</v>
      </c>
      <c r="D595" s="4">
        <v>280</v>
      </c>
      <c r="E595" s="4"/>
      <c r="F595" s="5">
        <v>29501.54</v>
      </c>
      <c r="I595" s="11">
        <f t="shared" si="18"/>
        <v>280</v>
      </c>
      <c r="J595" t="str">
        <f t="shared" si="19"/>
        <v>DR</v>
      </c>
    </row>
    <row r="596" spans="1:10" x14ac:dyDescent="0.25">
      <c r="A596" s="2" t="s">
        <v>1391</v>
      </c>
      <c r="B596" s="3" t="s">
        <v>1392</v>
      </c>
      <c r="C596" s="2" t="s">
        <v>1393</v>
      </c>
      <c r="D596" s="4">
        <v>3000</v>
      </c>
      <c r="E596" s="4"/>
      <c r="F596" s="5">
        <v>26501.54</v>
      </c>
      <c r="I596" s="11">
        <f t="shared" si="18"/>
        <v>3000</v>
      </c>
      <c r="J596" t="str">
        <f t="shared" si="19"/>
        <v>DR</v>
      </c>
    </row>
    <row r="597" spans="1:10" x14ac:dyDescent="0.25">
      <c r="A597" s="2" t="s">
        <v>1391</v>
      </c>
      <c r="B597" s="3" t="s">
        <v>1394</v>
      </c>
      <c r="C597" s="2" t="s">
        <v>1395</v>
      </c>
      <c r="D597" s="4">
        <v>690.85</v>
      </c>
      <c r="E597" s="4"/>
      <c r="F597" s="5">
        <v>25810.69</v>
      </c>
      <c r="I597" s="11">
        <f t="shared" si="18"/>
        <v>690.85</v>
      </c>
      <c r="J597" t="str">
        <f t="shared" si="19"/>
        <v>DR</v>
      </c>
    </row>
    <row r="598" spans="1:10" x14ac:dyDescent="0.25">
      <c r="A598" s="2" t="s">
        <v>1396</v>
      </c>
      <c r="B598" s="3" t="s">
        <v>1397</v>
      </c>
      <c r="C598" s="2" t="s">
        <v>1398</v>
      </c>
      <c r="D598" s="4">
        <v>120</v>
      </c>
      <c r="E598" s="4"/>
      <c r="F598" s="5">
        <v>25690.69</v>
      </c>
      <c r="I598" s="11">
        <f t="shared" si="18"/>
        <v>120</v>
      </c>
      <c r="J598" t="str">
        <f t="shared" si="19"/>
        <v>DR</v>
      </c>
    </row>
    <row r="599" spans="1:10" x14ac:dyDescent="0.25">
      <c r="A599" s="2" t="s">
        <v>1396</v>
      </c>
      <c r="B599" s="3" t="s">
        <v>1399</v>
      </c>
      <c r="C599" s="2" t="s">
        <v>1400</v>
      </c>
      <c r="D599" s="4"/>
      <c r="E599" s="4">
        <v>20000</v>
      </c>
      <c r="F599" s="5">
        <v>45690.69</v>
      </c>
      <c r="I599" s="11">
        <f t="shared" si="18"/>
        <v>20000</v>
      </c>
      <c r="J599" t="str">
        <f t="shared" si="19"/>
        <v>CR</v>
      </c>
    </row>
    <row r="600" spans="1:10" x14ac:dyDescent="0.25">
      <c r="A600" s="2" t="s">
        <v>1396</v>
      </c>
      <c r="B600" s="3" t="s">
        <v>1401</v>
      </c>
      <c r="C600" s="2" t="s">
        <v>1402</v>
      </c>
      <c r="D600" s="4">
        <v>20000</v>
      </c>
      <c r="E600" s="4"/>
      <c r="F600" s="5">
        <v>25690.69</v>
      </c>
      <c r="I600" s="11">
        <f t="shared" si="18"/>
        <v>20000</v>
      </c>
      <c r="J600" t="str">
        <f t="shared" si="19"/>
        <v>DR</v>
      </c>
    </row>
    <row r="601" spans="1:10" x14ac:dyDescent="0.25">
      <c r="A601" s="2" t="s">
        <v>1403</v>
      </c>
      <c r="B601" s="3" t="s">
        <v>1404</v>
      </c>
      <c r="C601" s="2" t="s">
        <v>1405</v>
      </c>
      <c r="D601" s="4">
        <v>60</v>
      </c>
      <c r="E601" s="4"/>
      <c r="F601" s="5">
        <v>25630.69</v>
      </c>
      <c r="I601" s="11">
        <f t="shared" si="18"/>
        <v>60</v>
      </c>
      <c r="J601" t="str">
        <f t="shared" si="19"/>
        <v>DR</v>
      </c>
    </row>
    <row r="602" spans="1:10" x14ac:dyDescent="0.25">
      <c r="A602" s="2" t="s">
        <v>1403</v>
      </c>
      <c r="B602" s="3" t="s">
        <v>1406</v>
      </c>
      <c r="C602" s="2" t="s">
        <v>1407</v>
      </c>
      <c r="D602" s="4">
        <v>19</v>
      </c>
      <c r="E602" s="4"/>
      <c r="F602" s="5">
        <v>25611.69</v>
      </c>
      <c r="I602" s="11">
        <f t="shared" si="18"/>
        <v>19</v>
      </c>
      <c r="J602" t="str">
        <f t="shared" si="19"/>
        <v>DR</v>
      </c>
    </row>
    <row r="603" spans="1:10" x14ac:dyDescent="0.25">
      <c r="A603" s="2" t="s">
        <v>1408</v>
      </c>
      <c r="B603" s="3" t="s">
        <v>1409</v>
      </c>
      <c r="C603" s="2" t="s">
        <v>235</v>
      </c>
      <c r="D603" s="4"/>
      <c r="E603" s="4">
        <v>693</v>
      </c>
      <c r="F603" s="5">
        <v>26304.69</v>
      </c>
      <c r="I603" s="11">
        <f t="shared" si="18"/>
        <v>693</v>
      </c>
      <c r="J603" t="str">
        <f t="shared" si="19"/>
        <v>CR</v>
      </c>
    </row>
    <row r="604" spans="1:10" x14ac:dyDescent="0.25">
      <c r="A604" s="2" t="s">
        <v>1408</v>
      </c>
      <c r="B604" s="3" t="s">
        <v>1410</v>
      </c>
      <c r="C604" s="2" t="s">
        <v>1411</v>
      </c>
      <c r="D604" s="4">
        <v>69</v>
      </c>
      <c r="E604" s="4"/>
      <c r="F604" s="5">
        <v>26235.69</v>
      </c>
      <c r="I604" s="11">
        <f t="shared" si="18"/>
        <v>69</v>
      </c>
      <c r="J604" t="str">
        <f t="shared" si="19"/>
        <v>DR</v>
      </c>
    </row>
    <row r="605" spans="1:10" x14ac:dyDescent="0.25">
      <c r="A605" s="2" t="s">
        <v>1412</v>
      </c>
      <c r="B605" s="3" t="s">
        <v>1413</v>
      </c>
      <c r="C605" s="2" t="s">
        <v>1414</v>
      </c>
      <c r="D605" s="4">
        <v>470.82</v>
      </c>
      <c r="E605" s="4"/>
      <c r="F605" s="5">
        <v>25764.87</v>
      </c>
      <c r="I605" s="11">
        <f t="shared" si="18"/>
        <v>470.82</v>
      </c>
      <c r="J605" t="str">
        <f t="shared" si="19"/>
        <v>DR</v>
      </c>
    </row>
    <row r="606" spans="1:10" x14ac:dyDescent="0.25">
      <c r="A606" s="2" t="s">
        <v>1415</v>
      </c>
      <c r="B606" s="3" t="s">
        <v>1416</v>
      </c>
      <c r="C606" s="2" t="s">
        <v>1417</v>
      </c>
      <c r="D606" s="4">
        <v>237.85</v>
      </c>
      <c r="E606" s="4"/>
      <c r="F606" s="5">
        <v>25527.02</v>
      </c>
      <c r="I606" s="11">
        <f t="shared" si="18"/>
        <v>237.85</v>
      </c>
      <c r="J606" t="str">
        <f t="shared" si="19"/>
        <v>DR</v>
      </c>
    </row>
    <row r="607" spans="1:10" x14ac:dyDescent="0.25">
      <c r="A607" s="2" t="s">
        <v>1418</v>
      </c>
      <c r="B607" s="3" t="s">
        <v>1419</v>
      </c>
      <c r="C607" s="2" t="s">
        <v>1420</v>
      </c>
      <c r="D607" s="4">
        <v>666</v>
      </c>
      <c r="E607" s="4"/>
      <c r="F607" s="5">
        <v>24861.02</v>
      </c>
      <c r="I607" s="11">
        <f t="shared" si="18"/>
        <v>666</v>
      </c>
      <c r="J607" t="str">
        <f t="shared" si="19"/>
        <v>DR</v>
      </c>
    </row>
    <row r="608" spans="1:10" x14ac:dyDescent="0.25">
      <c r="A608" s="2" t="s">
        <v>1421</v>
      </c>
      <c r="B608" s="3" t="s">
        <v>1422</v>
      </c>
      <c r="C608" s="2" t="s">
        <v>1423</v>
      </c>
      <c r="D608" s="4">
        <v>50</v>
      </c>
      <c r="E608" s="4"/>
      <c r="F608" s="5">
        <v>24811.02</v>
      </c>
      <c r="I608" s="11">
        <f t="shared" si="18"/>
        <v>50</v>
      </c>
      <c r="J608" t="str">
        <f t="shared" si="19"/>
        <v>DR</v>
      </c>
    </row>
    <row r="609" spans="1:10" x14ac:dyDescent="0.25">
      <c r="A609" s="2" t="s">
        <v>1424</v>
      </c>
      <c r="B609" s="3" t="s">
        <v>1425</v>
      </c>
      <c r="C609" s="2" t="s">
        <v>1426</v>
      </c>
      <c r="D609" s="4">
        <v>19</v>
      </c>
      <c r="E609" s="4"/>
      <c r="F609" s="5">
        <v>24792.02</v>
      </c>
      <c r="I609" s="11">
        <f t="shared" si="18"/>
        <v>19</v>
      </c>
      <c r="J609" t="str">
        <f t="shared" si="19"/>
        <v>DR</v>
      </c>
    </row>
    <row r="610" spans="1:10" x14ac:dyDescent="0.25">
      <c r="A610" s="2" t="s">
        <v>1427</v>
      </c>
      <c r="B610" s="3" t="s">
        <v>1428</v>
      </c>
      <c r="C610" s="2" t="s">
        <v>1429</v>
      </c>
      <c r="D610" s="4">
        <v>500</v>
      </c>
      <c r="E610" s="4"/>
      <c r="F610" s="5">
        <v>24292.02</v>
      </c>
      <c r="I610" s="11">
        <f t="shared" si="18"/>
        <v>500</v>
      </c>
      <c r="J610" t="str">
        <f t="shared" si="19"/>
        <v>DR</v>
      </c>
    </row>
    <row r="611" spans="1:10" x14ac:dyDescent="0.25">
      <c r="A611" s="2" t="s">
        <v>1430</v>
      </c>
      <c r="B611" s="3" t="s">
        <v>1431</v>
      </c>
      <c r="C611" s="2" t="s">
        <v>1432</v>
      </c>
      <c r="D611" s="4">
        <v>30</v>
      </c>
      <c r="E611" s="4"/>
      <c r="F611" s="5">
        <v>24262.02</v>
      </c>
      <c r="I611" s="11">
        <f t="shared" si="18"/>
        <v>30</v>
      </c>
      <c r="J611" t="str">
        <f t="shared" si="19"/>
        <v>DR</v>
      </c>
    </row>
    <row r="612" spans="1:10" x14ac:dyDescent="0.25">
      <c r="A612" s="2" t="s">
        <v>1433</v>
      </c>
      <c r="B612" s="3" t="s">
        <v>1434</v>
      </c>
      <c r="C612" s="2" t="s">
        <v>1435</v>
      </c>
      <c r="D612" s="4">
        <v>10</v>
      </c>
      <c r="E612" s="4"/>
      <c r="F612" s="5">
        <v>24252.02</v>
      </c>
      <c r="I612" s="11">
        <f t="shared" si="18"/>
        <v>10</v>
      </c>
      <c r="J612" t="str">
        <f t="shared" si="19"/>
        <v>DR</v>
      </c>
    </row>
    <row r="613" spans="1:10" x14ac:dyDescent="0.25">
      <c r="A613" s="2" t="s">
        <v>1436</v>
      </c>
      <c r="B613" s="3" t="s">
        <v>1437</v>
      </c>
      <c r="C613" s="2" t="s">
        <v>1438</v>
      </c>
      <c r="D613" s="4">
        <v>2724.5</v>
      </c>
      <c r="E613" s="4"/>
      <c r="F613" s="5">
        <v>21527.52</v>
      </c>
      <c r="I613" s="11">
        <f t="shared" si="18"/>
        <v>2724.5</v>
      </c>
      <c r="J613" t="str">
        <f t="shared" si="19"/>
        <v>DR</v>
      </c>
    </row>
    <row r="614" spans="1:10" x14ac:dyDescent="0.25">
      <c r="A614" s="2" t="s">
        <v>1436</v>
      </c>
      <c r="B614" s="3" t="s">
        <v>1439</v>
      </c>
      <c r="C614" s="2" t="s">
        <v>1440</v>
      </c>
      <c r="D614" s="4">
        <v>1116.3</v>
      </c>
      <c r="E614" s="4"/>
      <c r="F614" s="5">
        <v>20411.22</v>
      </c>
      <c r="I614" s="11">
        <f t="shared" si="18"/>
        <v>1116.3</v>
      </c>
      <c r="J614" t="str">
        <f t="shared" si="19"/>
        <v>DR</v>
      </c>
    </row>
    <row r="615" spans="1:10" x14ac:dyDescent="0.25">
      <c r="A615" s="2" t="s">
        <v>1436</v>
      </c>
      <c r="B615" s="3" t="s">
        <v>1441</v>
      </c>
      <c r="C615" s="2" t="s">
        <v>1442</v>
      </c>
      <c r="D615" s="4">
        <v>2775.4</v>
      </c>
      <c r="E615" s="4"/>
      <c r="F615" s="5">
        <v>17635.82</v>
      </c>
      <c r="I615" s="11">
        <f t="shared" si="18"/>
        <v>2775.4</v>
      </c>
      <c r="J615" t="str">
        <f t="shared" si="19"/>
        <v>DR</v>
      </c>
    </row>
    <row r="616" spans="1:10" x14ac:dyDescent="0.25">
      <c r="A616" s="2" t="s">
        <v>1436</v>
      </c>
      <c r="B616" s="3" t="s">
        <v>1443</v>
      </c>
      <c r="C616" s="2" t="s">
        <v>1444</v>
      </c>
      <c r="D616" s="4">
        <v>24</v>
      </c>
      <c r="E616" s="4"/>
      <c r="F616" s="5">
        <v>17611.82</v>
      </c>
      <c r="I616" s="11">
        <f t="shared" si="18"/>
        <v>24</v>
      </c>
      <c r="J616" t="str">
        <f t="shared" si="19"/>
        <v>DR</v>
      </c>
    </row>
    <row r="617" spans="1:10" x14ac:dyDescent="0.25">
      <c r="A617" s="2" t="s">
        <v>1445</v>
      </c>
      <c r="B617" s="3" t="s">
        <v>1446</v>
      </c>
      <c r="C617" s="2" t="s">
        <v>1447</v>
      </c>
      <c r="D617" s="4">
        <v>19</v>
      </c>
      <c r="E617" s="4"/>
      <c r="F617" s="5">
        <v>17592.82</v>
      </c>
      <c r="I617" s="11">
        <f t="shared" si="18"/>
        <v>19</v>
      </c>
      <c r="J617" t="str">
        <f t="shared" si="19"/>
        <v>DR</v>
      </c>
    </row>
    <row r="618" spans="1:10" x14ac:dyDescent="0.25">
      <c r="A618" s="2" t="s">
        <v>1448</v>
      </c>
      <c r="B618" s="3" t="s">
        <v>1449</v>
      </c>
      <c r="C618" s="2" t="s">
        <v>1450</v>
      </c>
      <c r="D618" s="4">
        <v>14</v>
      </c>
      <c r="E618" s="4"/>
      <c r="F618" s="5">
        <v>17578.82</v>
      </c>
      <c r="I618" s="11">
        <f t="shared" si="18"/>
        <v>14</v>
      </c>
      <c r="J618" t="str">
        <f t="shared" si="19"/>
        <v>DR</v>
      </c>
    </row>
    <row r="619" spans="1:10" x14ac:dyDescent="0.25">
      <c r="A619" s="2" t="s">
        <v>1451</v>
      </c>
      <c r="B619" s="3" t="s">
        <v>1452</v>
      </c>
      <c r="C619" s="2" t="s">
        <v>1453</v>
      </c>
      <c r="D619" s="4">
        <v>20</v>
      </c>
      <c r="E619" s="4"/>
      <c r="F619" s="5">
        <v>17558.82</v>
      </c>
      <c r="I619" s="11">
        <f t="shared" si="18"/>
        <v>20</v>
      </c>
      <c r="J619" t="str">
        <f t="shared" si="19"/>
        <v>DR</v>
      </c>
    </row>
    <row r="620" spans="1:10" x14ac:dyDescent="0.25">
      <c r="A620" s="2" t="s">
        <v>1451</v>
      </c>
      <c r="B620" s="3" t="s">
        <v>1454</v>
      </c>
      <c r="C620" s="2" t="s">
        <v>1455</v>
      </c>
      <c r="D620" s="4">
        <v>245</v>
      </c>
      <c r="E620" s="4"/>
      <c r="F620" s="5">
        <v>17313.82</v>
      </c>
      <c r="I620" s="11">
        <f t="shared" si="18"/>
        <v>245</v>
      </c>
      <c r="J620" t="str">
        <f t="shared" si="19"/>
        <v>DR</v>
      </c>
    </row>
    <row r="621" spans="1:10" x14ac:dyDescent="0.25">
      <c r="A621" s="2" t="s">
        <v>1451</v>
      </c>
      <c r="B621" s="3" t="s">
        <v>1456</v>
      </c>
      <c r="C621" s="2" t="s">
        <v>1457</v>
      </c>
      <c r="D621" s="4">
        <v>286</v>
      </c>
      <c r="E621" s="4"/>
      <c r="F621" s="5">
        <v>17027.82</v>
      </c>
      <c r="I621" s="11">
        <f t="shared" si="18"/>
        <v>286</v>
      </c>
      <c r="J621" t="str">
        <f t="shared" si="19"/>
        <v>DR</v>
      </c>
    </row>
    <row r="622" spans="1:10" x14ac:dyDescent="0.25">
      <c r="A622" s="2" t="s">
        <v>1451</v>
      </c>
      <c r="B622" s="3" t="s">
        <v>1458</v>
      </c>
      <c r="C622" s="2" t="s">
        <v>1459</v>
      </c>
      <c r="D622" s="4">
        <v>173</v>
      </c>
      <c r="E622" s="4"/>
      <c r="F622" s="5">
        <v>16854.82</v>
      </c>
      <c r="I622" s="11">
        <f t="shared" si="18"/>
        <v>173</v>
      </c>
      <c r="J622" t="str">
        <f t="shared" si="19"/>
        <v>DR</v>
      </c>
    </row>
    <row r="623" spans="1:10" x14ac:dyDescent="0.25">
      <c r="A623" s="2" t="s">
        <v>1460</v>
      </c>
      <c r="B623" s="3" t="s">
        <v>1461</v>
      </c>
      <c r="C623" s="2" t="s">
        <v>1462</v>
      </c>
      <c r="D623" s="4">
        <v>229</v>
      </c>
      <c r="E623" s="4"/>
      <c r="F623" s="5">
        <v>16625.82</v>
      </c>
      <c r="I623" s="11">
        <f t="shared" si="18"/>
        <v>229</v>
      </c>
      <c r="J623" t="str">
        <f t="shared" si="19"/>
        <v>DR</v>
      </c>
    </row>
    <row r="624" spans="1:10" x14ac:dyDescent="0.25">
      <c r="A624" s="2" t="s">
        <v>1463</v>
      </c>
      <c r="B624" s="3" t="s">
        <v>1464</v>
      </c>
      <c r="C624" s="2" t="s">
        <v>1465</v>
      </c>
      <c r="D624" s="4">
        <v>29</v>
      </c>
      <c r="E624" s="4"/>
      <c r="F624" s="5">
        <v>16596.82</v>
      </c>
      <c r="I624" s="11">
        <f t="shared" si="18"/>
        <v>29</v>
      </c>
      <c r="J624" t="str">
        <f t="shared" si="19"/>
        <v>DR</v>
      </c>
    </row>
    <row r="625" spans="1:10" x14ac:dyDescent="0.25">
      <c r="A625" s="2" t="s">
        <v>1463</v>
      </c>
      <c r="B625" s="3" t="s">
        <v>1466</v>
      </c>
      <c r="C625" s="2" t="s">
        <v>1467</v>
      </c>
      <c r="D625" s="4">
        <v>500</v>
      </c>
      <c r="E625" s="4"/>
      <c r="F625" s="5">
        <v>16096.82</v>
      </c>
      <c r="I625" s="11">
        <f t="shared" si="18"/>
        <v>500</v>
      </c>
      <c r="J625" t="str">
        <f t="shared" si="19"/>
        <v>DR</v>
      </c>
    </row>
    <row r="626" spans="1:10" x14ac:dyDescent="0.25">
      <c r="A626" s="2" t="s">
        <v>1463</v>
      </c>
      <c r="B626" s="3" t="s">
        <v>1468</v>
      </c>
      <c r="C626" s="2" t="s">
        <v>1469</v>
      </c>
      <c r="D626" s="4">
        <v>87</v>
      </c>
      <c r="E626" s="4"/>
      <c r="F626" s="5">
        <v>16009.82</v>
      </c>
      <c r="I626" s="11">
        <f t="shared" si="18"/>
        <v>87</v>
      </c>
      <c r="J626" t="str">
        <f t="shared" si="19"/>
        <v>DR</v>
      </c>
    </row>
    <row r="627" spans="1:10" x14ac:dyDescent="0.25">
      <c r="A627" s="2" t="s">
        <v>1463</v>
      </c>
      <c r="B627" s="3" t="s">
        <v>1470</v>
      </c>
      <c r="C627" s="2" t="s">
        <v>1471</v>
      </c>
      <c r="D627" s="4"/>
      <c r="E627" s="4">
        <v>87</v>
      </c>
      <c r="F627" s="5">
        <v>16096.82</v>
      </c>
      <c r="I627" s="11">
        <f t="shared" si="18"/>
        <v>87</v>
      </c>
      <c r="J627" t="str">
        <f t="shared" si="19"/>
        <v>CR</v>
      </c>
    </row>
    <row r="628" spans="1:10" x14ac:dyDescent="0.25">
      <c r="A628" s="2" t="s">
        <v>1472</v>
      </c>
      <c r="B628" s="3" t="s">
        <v>1473</v>
      </c>
      <c r="C628" s="2" t="s">
        <v>1474</v>
      </c>
      <c r="D628" s="4">
        <v>279</v>
      </c>
      <c r="E628" s="4"/>
      <c r="F628" s="5">
        <v>15817.82</v>
      </c>
      <c r="I628" s="11">
        <f t="shared" si="18"/>
        <v>279</v>
      </c>
      <c r="J628" t="str">
        <f t="shared" si="19"/>
        <v>DR</v>
      </c>
    </row>
    <row r="629" spans="1:10" x14ac:dyDescent="0.25">
      <c r="A629" s="2" t="s">
        <v>1475</v>
      </c>
      <c r="B629" s="3" t="s">
        <v>1476</v>
      </c>
      <c r="C629" s="2" t="s">
        <v>1477</v>
      </c>
      <c r="D629" s="4">
        <v>346</v>
      </c>
      <c r="E629" s="4"/>
      <c r="F629" s="5">
        <v>15471.82</v>
      </c>
      <c r="I629" s="11">
        <f t="shared" si="18"/>
        <v>346</v>
      </c>
      <c r="J629" t="str">
        <f t="shared" si="19"/>
        <v>DR</v>
      </c>
    </row>
    <row r="630" spans="1:10" x14ac:dyDescent="0.25">
      <c r="A630" s="2" t="s">
        <v>1475</v>
      </c>
      <c r="B630" s="3" t="s">
        <v>1478</v>
      </c>
      <c r="C630" s="2" t="s">
        <v>1479</v>
      </c>
      <c r="D630" s="4">
        <v>100</v>
      </c>
      <c r="E630" s="4"/>
      <c r="F630" s="5">
        <v>15371.82</v>
      </c>
      <c r="I630" s="11">
        <f t="shared" si="18"/>
        <v>100</v>
      </c>
      <c r="J630" t="str">
        <f t="shared" si="19"/>
        <v>DR</v>
      </c>
    </row>
    <row r="631" spans="1:10" x14ac:dyDescent="0.25">
      <c r="A631" s="2" t="s">
        <v>1480</v>
      </c>
      <c r="B631" s="3" t="s">
        <v>1481</v>
      </c>
      <c r="C631" s="2" t="s">
        <v>1482</v>
      </c>
      <c r="D631" s="4">
        <v>10</v>
      </c>
      <c r="E631" s="4"/>
      <c r="F631" s="5">
        <v>15361.82</v>
      </c>
      <c r="I631" s="11">
        <f t="shared" si="18"/>
        <v>10</v>
      </c>
      <c r="J631" t="str">
        <f t="shared" si="19"/>
        <v>DR</v>
      </c>
    </row>
    <row r="632" spans="1:10" x14ac:dyDescent="0.25">
      <c r="A632" s="2" t="s">
        <v>1480</v>
      </c>
      <c r="B632" s="3" t="s">
        <v>1483</v>
      </c>
      <c r="C632" s="2" t="s">
        <v>1484</v>
      </c>
      <c r="D632" s="4">
        <v>100</v>
      </c>
      <c r="E632" s="4"/>
      <c r="F632" s="5">
        <v>15261.82</v>
      </c>
      <c r="I632" s="11">
        <f t="shared" si="18"/>
        <v>100</v>
      </c>
      <c r="J632" t="str">
        <f t="shared" si="19"/>
        <v>DR</v>
      </c>
    </row>
    <row r="633" spans="1:10" x14ac:dyDescent="0.25">
      <c r="A633" s="2" t="s">
        <v>1480</v>
      </c>
      <c r="B633" s="3" t="s">
        <v>1485</v>
      </c>
      <c r="C633" s="2" t="s">
        <v>1486</v>
      </c>
      <c r="D633" s="4">
        <v>15</v>
      </c>
      <c r="E633" s="4"/>
      <c r="F633" s="5">
        <v>15246.82</v>
      </c>
      <c r="I633" s="11">
        <f t="shared" si="18"/>
        <v>15</v>
      </c>
      <c r="J633" t="str">
        <f t="shared" si="19"/>
        <v>DR</v>
      </c>
    </row>
    <row r="634" spans="1:10" x14ac:dyDescent="0.25">
      <c r="A634" s="2" t="s">
        <v>1487</v>
      </c>
      <c r="B634" s="3" t="s">
        <v>1488</v>
      </c>
      <c r="C634" s="2" t="s">
        <v>1489</v>
      </c>
      <c r="D634" s="4">
        <v>517.86</v>
      </c>
      <c r="E634" s="4"/>
      <c r="F634" s="5">
        <v>14728.96</v>
      </c>
      <c r="I634" s="11">
        <f t="shared" si="18"/>
        <v>517.86</v>
      </c>
      <c r="J634" t="str">
        <f t="shared" si="19"/>
        <v>DR</v>
      </c>
    </row>
    <row r="635" spans="1:10" x14ac:dyDescent="0.25">
      <c r="A635" s="2" t="s">
        <v>1487</v>
      </c>
      <c r="B635" s="3" t="s">
        <v>1490</v>
      </c>
      <c r="C635" s="2" t="s">
        <v>1491</v>
      </c>
      <c r="D635" s="4">
        <v>191</v>
      </c>
      <c r="E635" s="4"/>
      <c r="F635" s="5">
        <v>14537.96</v>
      </c>
      <c r="I635" s="11">
        <f t="shared" si="18"/>
        <v>191</v>
      </c>
      <c r="J635" t="str">
        <f t="shared" si="19"/>
        <v>DR</v>
      </c>
    </row>
    <row r="636" spans="1:10" x14ac:dyDescent="0.25">
      <c r="A636" s="2" t="s">
        <v>1492</v>
      </c>
      <c r="B636" s="3" t="s">
        <v>1493</v>
      </c>
      <c r="C636" s="2" t="s">
        <v>1494</v>
      </c>
      <c r="D636" s="4">
        <v>30</v>
      </c>
      <c r="E636" s="4"/>
      <c r="F636" s="5">
        <v>14507.96</v>
      </c>
      <c r="I636" s="11">
        <f t="shared" si="18"/>
        <v>30</v>
      </c>
      <c r="J636" t="str">
        <f t="shared" si="19"/>
        <v>DR</v>
      </c>
    </row>
    <row r="637" spans="1:10" x14ac:dyDescent="0.25">
      <c r="A637" s="2" t="s">
        <v>1492</v>
      </c>
      <c r="B637" s="3" t="s">
        <v>1495</v>
      </c>
      <c r="C637" s="2" t="s">
        <v>1496</v>
      </c>
      <c r="D637" s="4">
        <v>20</v>
      </c>
      <c r="E637" s="4"/>
      <c r="F637" s="5">
        <v>14487.96</v>
      </c>
      <c r="I637" s="11">
        <f t="shared" si="18"/>
        <v>20</v>
      </c>
      <c r="J637" t="str">
        <f t="shared" si="19"/>
        <v>DR</v>
      </c>
    </row>
    <row r="638" spans="1:10" x14ac:dyDescent="0.25">
      <c r="A638" s="2" t="s">
        <v>1497</v>
      </c>
      <c r="B638" s="3" t="s">
        <v>1498</v>
      </c>
      <c r="C638" s="2" t="s">
        <v>1499</v>
      </c>
      <c r="D638" s="4">
        <v>470.82</v>
      </c>
      <c r="E638" s="4"/>
      <c r="F638" s="5">
        <v>14017.14</v>
      </c>
      <c r="I638" s="11">
        <f t="shared" si="18"/>
        <v>470.82</v>
      </c>
      <c r="J638" t="str">
        <f t="shared" si="19"/>
        <v>DR</v>
      </c>
    </row>
    <row r="639" spans="1:10" x14ac:dyDescent="0.25">
      <c r="A639" s="2" t="s">
        <v>1500</v>
      </c>
      <c r="B639" s="3" t="s">
        <v>1501</v>
      </c>
      <c r="C639" s="2"/>
      <c r="D639" s="4"/>
      <c r="E639" s="4">
        <v>653.38</v>
      </c>
      <c r="F639" s="5">
        <v>14670.52</v>
      </c>
      <c r="I639" s="11">
        <f t="shared" si="18"/>
        <v>653.38</v>
      </c>
      <c r="J639" t="str">
        <f t="shared" si="19"/>
        <v>CR</v>
      </c>
    </row>
    <row r="640" spans="1:10" x14ac:dyDescent="0.25">
      <c r="A640" s="2" t="s">
        <v>1502</v>
      </c>
      <c r="B640" s="3" t="s">
        <v>1503</v>
      </c>
      <c r="C640" s="2" t="s">
        <v>1504</v>
      </c>
      <c r="D640" s="4">
        <v>30</v>
      </c>
      <c r="E640" s="4"/>
      <c r="F640" s="5">
        <v>14640.52</v>
      </c>
      <c r="I640" s="11">
        <f t="shared" si="18"/>
        <v>30</v>
      </c>
      <c r="J640" t="str">
        <f t="shared" si="19"/>
        <v>DR</v>
      </c>
    </row>
    <row r="641" spans="1:10" x14ac:dyDescent="0.25">
      <c r="A641" s="2" t="s">
        <v>1505</v>
      </c>
      <c r="B641" s="3" t="s">
        <v>1506</v>
      </c>
      <c r="C641" s="2" t="s">
        <v>1507</v>
      </c>
      <c r="D641" s="4">
        <v>29</v>
      </c>
      <c r="E641" s="4"/>
      <c r="F641" s="5">
        <v>14611.52</v>
      </c>
      <c r="I641" s="11">
        <f t="shared" si="18"/>
        <v>29</v>
      </c>
      <c r="J641" t="str">
        <f t="shared" si="19"/>
        <v>DR</v>
      </c>
    </row>
    <row r="642" spans="1:10" x14ac:dyDescent="0.25">
      <c r="A642" s="2" t="s">
        <v>1505</v>
      </c>
      <c r="B642" s="3" t="s">
        <v>1508</v>
      </c>
      <c r="C642" s="2" t="s">
        <v>1509</v>
      </c>
      <c r="D642" s="4">
        <v>20</v>
      </c>
      <c r="E642" s="4"/>
      <c r="F642" s="5">
        <v>14591.52</v>
      </c>
      <c r="I642" s="11">
        <f t="shared" si="18"/>
        <v>20</v>
      </c>
      <c r="J642" t="str">
        <f t="shared" si="19"/>
        <v>DR</v>
      </c>
    </row>
    <row r="643" spans="1:10" x14ac:dyDescent="0.25">
      <c r="A643" s="2" t="s">
        <v>1510</v>
      </c>
      <c r="B643" s="3" t="s">
        <v>1511</v>
      </c>
      <c r="C643" s="2" t="s">
        <v>1512</v>
      </c>
      <c r="D643" s="4">
        <v>1</v>
      </c>
      <c r="E643" s="4"/>
      <c r="F643" s="5">
        <v>14590.52</v>
      </c>
      <c r="I643" s="11">
        <f t="shared" si="18"/>
        <v>1</v>
      </c>
      <c r="J643" t="str">
        <f t="shared" si="19"/>
        <v>DR</v>
      </c>
    </row>
    <row r="644" spans="1:10" x14ac:dyDescent="0.25">
      <c r="A644" s="2" t="s">
        <v>1510</v>
      </c>
      <c r="B644" s="3" t="s">
        <v>1513</v>
      </c>
      <c r="C644" s="2" t="s">
        <v>1514</v>
      </c>
      <c r="D644" s="4"/>
      <c r="E644" s="4">
        <v>1</v>
      </c>
      <c r="F644" s="5">
        <v>14591.52</v>
      </c>
      <c r="I644" s="11">
        <f t="shared" ref="I644:I665" si="20">+D644+E644</f>
        <v>1</v>
      </c>
      <c r="J644" t="str">
        <f t="shared" ref="J644:J665" si="21">IF(E644=0,"DR","CR")</f>
        <v>CR</v>
      </c>
    </row>
    <row r="645" spans="1:10" x14ac:dyDescent="0.25">
      <c r="A645" s="2" t="s">
        <v>1515</v>
      </c>
      <c r="B645" s="3" t="s">
        <v>1516</v>
      </c>
      <c r="C645" s="2"/>
      <c r="D645" s="4"/>
      <c r="E645" s="4">
        <v>100</v>
      </c>
      <c r="F645" s="5">
        <v>14691.52</v>
      </c>
      <c r="I645" s="11">
        <f t="shared" si="20"/>
        <v>100</v>
      </c>
      <c r="J645" t="str">
        <f t="shared" si="21"/>
        <v>CR</v>
      </c>
    </row>
    <row r="646" spans="1:10" x14ac:dyDescent="0.25">
      <c r="A646" s="2" t="s">
        <v>1517</v>
      </c>
      <c r="B646" s="3" t="s">
        <v>1518</v>
      </c>
      <c r="C646" s="2"/>
      <c r="D646" s="4"/>
      <c r="E646" s="4">
        <v>495000</v>
      </c>
      <c r="F646" s="5">
        <v>509691.52</v>
      </c>
      <c r="I646" s="11">
        <f t="shared" si="20"/>
        <v>495000</v>
      </c>
      <c r="J646" t="str">
        <f t="shared" si="21"/>
        <v>CR</v>
      </c>
    </row>
    <row r="647" spans="1:10" x14ac:dyDescent="0.25">
      <c r="A647" s="2" t="s">
        <v>1519</v>
      </c>
      <c r="B647" s="3" t="s">
        <v>1520</v>
      </c>
      <c r="C647" s="2" t="s">
        <v>1521</v>
      </c>
      <c r="D647" s="4">
        <v>1360</v>
      </c>
      <c r="E647" s="4"/>
      <c r="F647" s="5">
        <v>508331.52000000002</v>
      </c>
      <c r="I647" s="11">
        <f t="shared" si="20"/>
        <v>1360</v>
      </c>
      <c r="J647" t="str">
        <f t="shared" si="21"/>
        <v>DR</v>
      </c>
    </row>
    <row r="648" spans="1:10" x14ac:dyDescent="0.25">
      <c r="A648" s="2" t="s">
        <v>1519</v>
      </c>
      <c r="B648" s="3" t="s">
        <v>1522</v>
      </c>
      <c r="C648" s="2" t="s">
        <v>1523</v>
      </c>
      <c r="D648" s="4">
        <v>20</v>
      </c>
      <c r="E648" s="4"/>
      <c r="F648" s="5">
        <v>508311.52</v>
      </c>
      <c r="I648" s="11">
        <f t="shared" si="20"/>
        <v>20</v>
      </c>
      <c r="J648" t="str">
        <f t="shared" si="21"/>
        <v>DR</v>
      </c>
    </row>
    <row r="649" spans="1:10" x14ac:dyDescent="0.25">
      <c r="A649" s="2" t="s">
        <v>1524</v>
      </c>
      <c r="B649" s="3" t="s">
        <v>1525</v>
      </c>
      <c r="C649" s="2" t="s">
        <v>1526</v>
      </c>
      <c r="D649" s="4">
        <v>69</v>
      </c>
      <c r="E649" s="4"/>
      <c r="F649" s="5">
        <v>508242.52</v>
      </c>
      <c r="I649" s="11">
        <f t="shared" si="20"/>
        <v>69</v>
      </c>
      <c r="J649" t="str">
        <f t="shared" si="21"/>
        <v>DR</v>
      </c>
    </row>
    <row r="650" spans="1:10" x14ac:dyDescent="0.25">
      <c r="A650" s="2" t="s">
        <v>1524</v>
      </c>
      <c r="B650" s="3" t="s">
        <v>1527</v>
      </c>
      <c r="C650" s="2" t="s">
        <v>1528</v>
      </c>
      <c r="D650" s="4">
        <v>29</v>
      </c>
      <c r="E650" s="4"/>
      <c r="F650" s="5">
        <v>508213.52</v>
      </c>
      <c r="I650" s="11">
        <f t="shared" si="20"/>
        <v>29</v>
      </c>
      <c r="J650" t="str">
        <f t="shared" si="21"/>
        <v>DR</v>
      </c>
    </row>
    <row r="651" spans="1:10" x14ac:dyDescent="0.25">
      <c r="A651" s="2" t="s">
        <v>1524</v>
      </c>
      <c r="B651" s="3" t="s">
        <v>1529</v>
      </c>
      <c r="C651" s="2" t="s">
        <v>1530</v>
      </c>
      <c r="D651" s="4">
        <v>210.6</v>
      </c>
      <c r="E651" s="4"/>
      <c r="F651" s="5">
        <v>508002.92</v>
      </c>
      <c r="I651" s="11">
        <f t="shared" si="20"/>
        <v>210.6</v>
      </c>
      <c r="J651" t="str">
        <f t="shared" si="21"/>
        <v>DR</v>
      </c>
    </row>
    <row r="652" spans="1:10" x14ac:dyDescent="0.25">
      <c r="A652" s="2" t="s">
        <v>1531</v>
      </c>
      <c r="B652" s="3" t="s">
        <v>1532</v>
      </c>
      <c r="C652" s="2" t="s">
        <v>1533</v>
      </c>
      <c r="D652" s="4">
        <v>150</v>
      </c>
      <c r="E652" s="4"/>
      <c r="F652" s="5">
        <v>507852.92</v>
      </c>
      <c r="I652" s="11">
        <f t="shared" si="20"/>
        <v>150</v>
      </c>
      <c r="J652" t="str">
        <f t="shared" si="21"/>
        <v>DR</v>
      </c>
    </row>
    <row r="653" spans="1:10" x14ac:dyDescent="0.25">
      <c r="A653" s="2" t="s">
        <v>1531</v>
      </c>
      <c r="B653" s="3" t="s">
        <v>1534</v>
      </c>
      <c r="C653" s="2" t="s">
        <v>1535</v>
      </c>
      <c r="D653" s="4">
        <v>19</v>
      </c>
      <c r="E653" s="4"/>
      <c r="F653" s="5">
        <v>507833.92</v>
      </c>
      <c r="I653" s="11">
        <f t="shared" si="20"/>
        <v>19</v>
      </c>
      <c r="J653" t="str">
        <f t="shared" si="21"/>
        <v>DR</v>
      </c>
    </row>
    <row r="654" spans="1:10" x14ac:dyDescent="0.25">
      <c r="A654" s="2" t="s">
        <v>1536</v>
      </c>
      <c r="B654" s="3" t="s">
        <v>1537</v>
      </c>
      <c r="C654" s="2" t="s">
        <v>1538</v>
      </c>
      <c r="D654" s="4">
        <v>15000</v>
      </c>
      <c r="E654" s="4"/>
      <c r="F654" s="5">
        <v>492833.92</v>
      </c>
      <c r="I654" s="11">
        <f t="shared" si="20"/>
        <v>15000</v>
      </c>
      <c r="J654" t="str">
        <f t="shared" si="21"/>
        <v>DR</v>
      </c>
    </row>
    <row r="655" spans="1:10" x14ac:dyDescent="0.25">
      <c r="A655" s="2" t="s">
        <v>1539</v>
      </c>
      <c r="B655" s="3" t="s">
        <v>1540</v>
      </c>
      <c r="C655" s="2" t="s">
        <v>1541</v>
      </c>
      <c r="D655" s="4">
        <v>29</v>
      </c>
      <c r="E655" s="4"/>
      <c r="F655" s="5">
        <v>492804.92</v>
      </c>
      <c r="I655" s="11">
        <f t="shared" si="20"/>
        <v>29</v>
      </c>
      <c r="J655" t="str">
        <f t="shared" si="21"/>
        <v>DR</v>
      </c>
    </row>
    <row r="656" spans="1:10" x14ac:dyDescent="0.25">
      <c r="A656" s="2" t="s">
        <v>1539</v>
      </c>
      <c r="B656" s="3" t="s">
        <v>1542</v>
      </c>
      <c r="C656" s="2" t="s">
        <v>1543</v>
      </c>
      <c r="D656" s="4">
        <v>1773.46</v>
      </c>
      <c r="E656" s="4"/>
      <c r="F656" s="5">
        <v>491031.46</v>
      </c>
      <c r="I656" s="11">
        <f t="shared" si="20"/>
        <v>1773.46</v>
      </c>
      <c r="J656" t="str">
        <f t="shared" si="21"/>
        <v>DR</v>
      </c>
    </row>
    <row r="657" spans="1:10" x14ac:dyDescent="0.25">
      <c r="A657" s="2" t="s">
        <v>1544</v>
      </c>
      <c r="B657" s="3" t="s">
        <v>1545</v>
      </c>
      <c r="C657" s="2" t="s">
        <v>1546</v>
      </c>
      <c r="D657" s="4">
        <v>1500</v>
      </c>
      <c r="E657" s="4"/>
      <c r="F657" s="5">
        <v>489531.46</v>
      </c>
      <c r="I657" s="11">
        <f t="shared" si="20"/>
        <v>1500</v>
      </c>
      <c r="J657" t="str">
        <f t="shared" si="21"/>
        <v>DR</v>
      </c>
    </row>
    <row r="658" spans="1:10" x14ac:dyDescent="0.25">
      <c r="A658" s="2" t="s">
        <v>1544</v>
      </c>
      <c r="B658" s="3" t="s">
        <v>1547</v>
      </c>
      <c r="C658" s="2" t="s">
        <v>1548</v>
      </c>
      <c r="D658" s="4">
        <v>29</v>
      </c>
      <c r="E658" s="4"/>
      <c r="F658" s="5">
        <v>489502.46</v>
      </c>
      <c r="I658" s="11">
        <f t="shared" si="20"/>
        <v>29</v>
      </c>
      <c r="J658" t="str">
        <f t="shared" si="21"/>
        <v>DR</v>
      </c>
    </row>
    <row r="659" spans="1:10" x14ac:dyDescent="0.25">
      <c r="A659" s="2" t="s">
        <v>1544</v>
      </c>
      <c r="B659" s="3" t="s">
        <v>1549</v>
      </c>
      <c r="C659" s="2" t="s">
        <v>1550</v>
      </c>
      <c r="D659" s="4">
        <v>19</v>
      </c>
      <c r="E659" s="4"/>
      <c r="F659" s="5">
        <v>489483.46</v>
      </c>
      <c r="I659" s="11">
        <f t="shared" si="20"/>
        <v>19</v>
      </c>
      <c r="J659" t="str">
        <f t="shared" si="21"/>
        <v>DR</v>
      </c>
    </row>
    <row r="660" spans="1:10" x14ac:dyDescent="0.25">
      <c r="A660" s="2" t="s">
        <v>1551</v>
      </c>
      <c r="B660" s="3" t="s">
        <v>1552</v>
      </c>
      <c r="C660" s="2"/>
      <c r="D660" s="4"/>
      <c r="E660" s="4">
        <v>1500</v>
      </c>
      <c r="F660" s="5">
        <v>490983.46</v>
      </c>
      <c r="I660" s="11">
        <f t="shared" si="20"/>
        <v>1500</v>
      </c>
      <c r="J660" t="str">
        <f t="shared" si="21"/>
        <v>CR</v>
      </c>
    </row>
    <row r="661" spans="1:10" x14ac:dyDescent="0.25">
      <c r="A661" s="2" t="s">
        <v>1551</v>
      </c>
      <c r="B661" s="3" t="s">
        <v>1553</v>
      </c>
      <c r="C661" s="2" t="s">
        <v>1554</v>
      </c>
      <c r="D661" s="4">
        <v>29</v>
      </c>
      <c r="E661" s="4"/>
      <c r="F661" s="5">
        <v>490954.46</v>
      </c>
      <c r="I661" s="11">
        <f t="shared" si="20"/>
        <v>29</v>
      </c>
      <c r="J661" t="str">
        <f t="shared" si="21"/>
        <v>DR</v>
      </c>
    </row>
    <row r="662" spans="1:10" x14ac:dyDescent="0.25">
      <c r="A662" s="2" t="s">
        <v>1551</v>
      </c>
      <c r="B662" s="3" t="s">
        <v>1555</v>
      </c>
      <c r="C662" s="2" t="s">
        <v>1556</v>
      </c>
      <c r="D662" s="4">
        <v>29</v>
      </c>
      <c r="E662" s="4"/>
      <c r="F662" s="5">
        <v>490925.46</v>
      </c>
      <c r="I662" s="11">
        <f t="shared" si="20"/>
        <v>29</v>
      </c>
      <c r="J662" t="str">
        <f t="shared" si="21"/>
        <v>DR</v>
      </c>
    </row>
    <row r="663" spans="1:10" x14ac:dyDescent="0.25">
      <c r="A663" s="2" t="s">
        <v>1551</v>
      </c>
      <c r="B663" s="3" t="s">
        <v>1557</v>
      </c>
      <c r="C663" s="2" t="s">
        <v>1558</v>
      </c>
      <c r="D663" s="4">
        <v>384</v>
      </c>
      <c r="E663" s="4"/>
      <c r="F663" s="5">
        <v>490541.46</v>
      </c>
      <c r="I663" s="11">
        <f t="shared" si="20"/>
        <v>384</v>
      </c>
      <c r="J663" t="str">
        <f t="shared" si="21"/>
        <v>DR</v>
      </c>
    </row>
    <row r="664" spans="1:10" x14ac:dyDescent="0.25">
      <c r="A664" s="2" t="s">
        <v>1559</v>
      </c>
      <c r="B664" s="3" t="s">
        <v>1560</v>
      </c>
      <c r="C664" s="2" t="s">
        <v>1561</v>
      </c>
      <c r="D664" s="4">
        <v>655</v>
      </c>
      <c r="E664" s="4"/>
      <c r="F664" s="5">
        <v>489886.46</v>
      </c>
      <c r="I664" s="11">
        <f t="shared" si="20"/>
        <v>655</v>
      </c>
      <c r="J664" t="str">
        <f t="shared" si="21"/>
        <v>DR</v>
      </c>
    </row>
    <row r="665" spans="1:10" x14ac:dyDescent="0.25">
      <c r="A665" s="2" t="s">
        <v>1562</v>
      </c>
      <c r="B665" s="3" t="s">
        <v>1563</v>
      </c>
      <c r="C665" s="2" t="s">
        <v>1564</v>
      </c>
      <c r="D665" s="4">
        <v>500</v>
      </c>
      <c r="E665" s="4"/>
      <c r="F665" s="5">
        <v>489386.46</v>
      </c>
      <c r="I665" s="11">
        <f t="shared" si="20"/>
        <v>500</v>
      </c>
      <c r="J665" t="str">
        <f t="shared" si="21"/>
        <v>DR</v>
      </c>
    </row>
    <row r="667" spans="1:10" x14ac:dyDescent="0.25">
      <c r="A667" s="6"/>
      <c r="B667" s="7" t="s">
        <v>1565</v>
      </c>
      <c r="C667" s="6"/>
      <c r="D667" s="8">
        <f>SUM(D2:D665)</f>
        <v>1136255.3600000003</v>
      </c>
      <c r="E667" s="8">
        <f>SUM(E2:E665)</f>
        <v>1559677.52</v>
      </c>
      <c r="F667" s="6"/>
    </row>
    <row r="668" spans="1:10" x14ac:dyDescent="0.25">
      <c r="B668" s="9" t="s">
        <v>1566</v>
      </c>
      <c r="F668" s="10">
        <f>F665</f>
        <v>489386.46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tabSelected="1" zoomScale="110" zoomScaleNormal="110" workbookViewId="0">
      <selection activeCell="D9" sqref="D9"/>
    </sheetView>
  </sheetViews>
  <sheetFormatPr defaultRowHeight="15" x14ac:dyDescent="0.25"/>
  <cols>
    <col min="1" max="1" width="10.5703125" bestFit="1" customWidth="1"/>
    <col min="2" max="2" width="32.42578125" customWidth="1"/>
    <col min="4" max="4" width="73" customWidth="1"/>
    <col min="5" max="5" width="13.140625" customWidth="1"/>
  </cols>
  <sheetData>
    <row r="1" spans="1:9" x14ac:dyDescent="0.25">
      <c r="A1" t="s">
        <v>1567</v>
      </c>
      <c r="B1" t="s">
        <v>1568</v>
      </c>
      <c r="C1" t="s">
        <v>1569</v>
      </c>
      <c r="D1" t="s">
        <v>1570</v>
      </c>
      <c r="E1" t="s">
        <v>1571</v>
      </c>
      <c r="F1" t="s">
        <v>1572</v>
      </c>
      <c r="H1" t="s">
        <v>1573</v>
      </c>
      <c r="I1" s="13" t="s">
        <v>1582</v>
      </c>
    </row>
    <row r="2" spans="1:9" x14ac:dyDescent="0.25">
      <c r="A2" s="12">
        <v>45826</v>
      </c>
      <c r="B2" t="s">
        <v>1590</v>
      </c>
      <c r="C2" s="20" t="s">
        <v>1574</v>
      </c>
      <c r="D2" s="17" t="s">
        <v>1578</v>
      </c>
      <c r="E2" s="18">
        <v>13455</v>
      </c>
      <c r="F2" s="19" t="s">
        <v>1620</v>
      </c>
      <c r="G2" t="s">
        <v>1576</v>
      </c>
    </row>
    <row r="3" spans="1:9" x14ac:dyDescent="0.25">
      <c r="A3" s="12">
        <v>45826</v>
      </c>
      <c r="B3" t="s">
        <v>1625</v>
      </c>
      <c r="C3" s="20" t="s">
        <v>1574</v>
      </c>
      <c r="D3" s="17" t="s">
        <v>1592</v>
      </c>
      <c r="E3" s="18">
        <v>50000</v>
      </c>
      <c r="F3" s="19" t="s">
        <v>1621</v>
      </c>
      <c r="G3" t="s">
        <v>1576</v>
      </c>
    </row>
    <row r="4" spans="1:9" x14ac:dyDescent="0.25">
      <c r="A4" s="12">
        <v>45826</v>
      </c>
      <c r="B4" t="s">
        <v>1583</v>
      </c>
      <c r="C4" s="21" t="s">
        <v>1575</v>
      </c>
      <c r="D4" s="17" t="s">
        <v>1593</v>
      </c>
      <c r="E4" s="18">
        <v>43710.239999999998</v>
      </c>
      <c r="F4" s="19"/>
      <c r="G4" t="s">
        <v>1577</v>
      </c>
    </row>
    <row r="5" spans="1:9" x14ac:dyDescent="0.25">
      <c r="A5" s="12">
        <v>45826</v>
      </c>
      <c r="B5" t="s">
        <v>1584</v>
      </c>
      <c r="C5" s="21" t="s">
        <v>1575</v>
      </c>
      <c r="D5" s="17" t="s">
        <v>1594</v>
      </c>
      <c r="E5" s="18">
        <v>1507.15</v>
      </c>
      <c r="F5" s="19"/>
      <c r="G5" t="s">
        <v>1577</v>
      </c>
    </row>
    <row r="6" spans="1:9" x14ac:dyDescent="0.25">
      <c r="A6" s="12">
        <v>45826</v>
      </c>
      <c r="B6" t="s">
        <v>1587</v>
      </c>
      <c r="C6" s="21" t="s">
        <v>1575</v>
      </c>
      <c r="D6" s="17" t="s">
        <v>1595</v>
      </c>
      <c r="E6" s="18">
        <v>17500.11</v>
      </c>
      <c r="F6" s="19"/>
      <c r="G6" t="s">
        <v>1577</v>
      </c>
    </row>
    <row r="7" spans="1:9" x14ac:dyDescent="0.25">
      <c r="A7" s="12">
        <v>45827</v>
      </c>
      <c r="B7" t="s">
        <v>1585</v>
      </c>
      <c r="C7" s="21" t="s">
        <v>1575</v>
      </c>
      <c r="D7" s="17" t="s">
        <v>1596</v>
      </c>
      <c r="E7" s="18">
        <v>3194</v>
      </c>
      <c r="F7" s="19"/>
      <c r="G7" t="s">
        <v>1577</v>
      </c>
    </row>
    <row r="8" spans="1:9" x14ac:dyDescent="0.25">
      <c r="A8" s="12">
        <v>45827</v>
      </c>
      <c r="B8" t="s">
        <v>1588</v>
      </c>
      <c r="C8" s="20" t="s">
        <v>1574</v>
      </c>
      <c r="D8" s="17" t="s">
        <v>1581</v>
      </c>
      <c r="E8" s="18">
        <v>21738</v>
      </c>
      <c r="F8" s="19" t="s">
        <v>1622</v>
      </c>
      <c r="G8" t="s">
        <v>1576</v>
      </c>
    </row>
    <row r="9" spans="1:9" x14ac:dyDescent="0.25">
      <c r="A9" s="12">
        <v>45827</v>
      </c>
      <c r="B9" t="s">
        <v>1584</v>
      </c>
      <c r="C9" s="21" t="s">
        <v>1575</v>
      </c>
      <c r="D9" s="17" t="s">
        <v>1597</v>
      </c>
      <c r="E9" s="18">
        <v>2442.75</v>
      </c>
      <c r="F9" s="19"/>
      <c r="G9" t="s">
        <v>1577</v>
      </c>
    </row>
    <row r="10" spans="1:9" x14ac:dyDescent="0.25">
      <c r="A10" s="12">
        <v>45828</v>
      </c>
      <c r="B10" t="s">
        <v>1585</v>
      </c>
      <c r="C10" s="21" t="s">
        <v>1575</v>
      </c>
      <c r="D10" s="17" t="s">
        <v>1598</v>
      </c>
      <c r="E10" s="18">
        <v>1816</v>
      </c>
      <c r="F10" s="19"/>
      <c r="G10" t="s">
        <v>1577</v>
      </c>
    </row>
    <row r="11" spans="1:9" x14ac:dyDescent="0.25">
      <c r="A11" s="12">
        <v>45828</v>
      </c>
      <c r="B11" t="s">
        <v>1584</v>
      </c>
      <c r="C11" s="21" t="s">
        <v>1575</v>
      </c>
      <c r="D11" s="17" t="s">
        <v>1599</v>
      </c>
      <c r="E11" s="18">
        <v>1412.83</v>
      </c>
      <c r="F11" s="19"/>
      <c r="G11" t="s">
        <v>1577</v>
      </c>
    </row>
    <row r="12" spans="1:9" x14ac:dyDescent="0.25">
      <c r="A12" s="12">
        <v>45829</v>
      </c>
      <c r="B12" t="s">
        <v>1585</v>
      </c>
      <c r="C12" s="21" t="s">
        <v>1575</v>
      </c>
      <c r="D12" s="17" t="s">
        <v>1600</v>
      </c>
      <c r="E12" s="18">
        <v>3918</v>
      </c>
      <c r="F12" s="19"/>
      <c r="G12" t="s">
        <v>1577</v>
      </c>
    </row>
    <row r="13" spans="1:9" x14ac:dyDescent="0.25">
      <c r="A13" s="12">
        <v>45829</v>
      </c>
      <c r="B13" t="s">
        <v>1589</v>
      </c>
      <c r="C13" s="20" t="s">
        <v>1574</v>
      </c>
      <c r="D13" s="17" t="s">
        <v>1580</v>
      </c>
      <c r="E13" s="18">
        <v>11000</v>
      </c>
      <c r="F13" s="19" t="s">
        <v>1623</v>
      </c>
      <c r="G13" t="s">
        <v>1576</v>
      </c>
    </row>
    <row r="14" spans="1:9" x14ac:dyDescent="0.25">
      <c r="A14" s="12">
        <v>45829</v>
      </c>
      <c r="B14" t="s">
        <v>1584</v>
      </c>
      <c r="C14" s="21" t="s">
        <v>1575</v>
      </c>
      <c r="D14" s="17" t="s">
        <v>1601</v>
      </c>
      <c r="E14" s="18">
        <v>3012.1</v>
      </c>
      <c r="F14" s="19"/>
      <c r="G14" t="s">
        <v>1577</v>
      </c>
    </row>
    <row r="15" spans="1:9" x14ac:dyDescent="0.25">
      <c r="A15" s="12">
        <v>45830</v>
      </c>
      <c r="B15" t="s">
        <v>1585</v>
      </c>
      <c r="C15" s="21" t="s">
        <v>1575</v>
      </c>
      <c r="D15" s="17" t="s">
        <v>1602</v>
      </c>
      <c r="E15" s="18">
        <v>3258.43</v>
      </c>
      <c r="F15" s="19"/>
      <c r="G15" t="s">
        <v>1577</v>
      </c>
    </row>
    <row r="16" spans="1:9" x14ac:dyDescent="0.25">
      <c r="A16" s="12">
        <v>45831</v>
      </c>
      <c r="B16" t="s">
        <v>1585</v>
      </c>
      <c r="C16" s="21" t="s">
        <v>1575</v>
      </c>
      <c r="D16" s="17" t="s">
        <v>1603</v>
      </c>
      <c r="E16" s="18">
        <v>6297.53</v>
      </c>
      <c r="F16" s="19"/>
      <c r="G16" t="s">
        <v>1577</v>
      </c>
    </row>
    <row r="17" spans="1:7" x14ac:dyDescent="0.25">
      <c r="A17" s="12">
        <v>45831</v>
      </c>
      <c r="B17" t="s">
        <v>1584</v>
      </c>
      <c r="C17" s="21" t="s">
        <v>1575</v>
      </c>
      <c r="D17" s="17" t="s">
        <v>1604</v>
      </c>
      <c r="E17" s="18">
        <v>3724.36</v>
      </c>
      <c r="F17" s="19"/>
      <c r="G17" t="s">
        <v>1577</v>
      </c>
    </row>
    <row r="18" spans="1:7" x14ac:dyDescent="0.25">
      <c r="A18" s="12">
        <v>45832</v>
      </c>
      <c r="B18" t="s">
        <v>1585</v>
      </c>
      <c r="C18" s="21" t="s">
        <v>1575</v>
      </c>
      <c r="D18" s="17" t="s">
        <v>1605</v>
      </c>
      <c r="E18" s="18">
        <v>4167.8500000000004</v>
      </c>
      <c r="F18" s="19"/>
      <c r="G18" t="s">
        <v>1577</v>
      </c>
    </row>
    <row r="19" spans="1:7" x14ac:dyDescent="0.25">
      <c r="A19" s="12">
        <v>45832</v>
      </c>
      <c r="B19" t="s">
        <v>1584</v>
      </c>
      <c r="C19" s="21" t="s">
        <v>1575</v>
      </c>
      <c r="D19" s="17" t="s">
        <v>1606</v>
      </c>
      <c r="E19" s="18">
        <v>1770.83</v>
      </c>
      <c r="F19" s="19"/>
      <c r="G19" t="s">
        <v>1577</v>
      </c>
    </row>
    <row r="20" spans="1:7" x14ac:dyDescent="0.25">
      <c r="A20" s="12">
        <v>45833</v>
      </c>
      <c r="B20" t="s">
        <v>1585</v>
      </c>
      <c r="C20" s="21" t="s">
        <v>1575</v>
      </c>
      <c r="D20" s="17" t="s">
        <v>1607</v>
      </c>
      <c r="E20" s="18">
        <v>1861</v>
      </c>
      <c r="F20" s="19"/>
      <c r="G20" t="s">
        <v>1577</v>
      </c>
    </row>
    <row r="21" spans="1:7" x14ac:dyDescent="0.25">
      <c r="A21" s="12">
        <v>45833</v>
      </c>
      <c r="B21" t="s">
        <v>1587</v>
      </c>
      <c r="C21" s="21" t="s">
        <v>1575</v>
      </c>
      <c r="D21" s="17" t="s">
        <v>1608</v>
      </c>
      <c r="E21" s="18">
        <v>12306.53</v>
      </c>
      <c r="F21" s="19"/>
      <c r="G21" t="s">
        <v>1577</v>
      </c>
    </row>
    <row r="22" spans="1:7" x14ac:dyDescent="0.25">
      <c r="A22" s="12">
        <v>45833</v>
      </c>
      <c r="B22" t="s">
        <v>1583</v>
      </c>
      <c r="C22" s="21" t="s">
        <v>1575</v>
      </c>
      <c r="D22" s="17" t="s">
        <v>1609</v>
      </c>
      <c r="E22" s="18">
        <v>45319.91</v>
      </c>
      <c r="F22" s="19"/>
      <c r="G22" t="s">
        <v>1577</v>
      </c>
    </row>
    <row r="23" spans="1:7" x14ac:dyDescent="0.25">
      <c r="A23" s="12">
        <v>45833</v>
      </c>
      <c r="B23" t="s">
        <v>1584</v>
      </c>
      <c r="C23" s="21" t="s">
        <v>1575</v>
      </c>
      <c r="D23" s="17" t="s">
        <v>1610</v>
      </c>
      <c r="E23" s="18">
        <v>6744.61</v>
      </c>
      <c r="F23" s="19"/>
      <c r="G23" t="s">
        <v>1577</v>
      </c>
    </row>
    <row r="24" spans="1:7" x14ac:dyDescent="0.25">
      <c r="A24" s="12">
        <v>45834</v>
      </c>
      <c r="B24" t="s">
        <v>1585</v>
      </c>
      <c r="C24" s="21" t="s">
        <v>1575</v>
      </c>
      <c r="D24" s="17" t="s">
        <v>1611</v>
      </c>
      <c r="E24" s="18">
        <v>1829</v>
      </c>
      <c r="F24" s="19"/>
      <c r="G24" t="s">
        <v>1577</v>
      </c>
    </row>
    <row r="25" spans="1:7" x14ac:dyDescent="0.25">
      <c r="A25" s="12">
        <v>45834</v>
      </c>
      <c r="B25" t="s">
        <v>1584</v>
      </c>
      <c r="C25" s="21" t="s">
        <v>1575</v>
      </c>
      <c r="D25" s="17" t="s">
        <v>1612</v>
      </c>
      <c r="E25" s="18">
        <v>3788.09</v>
      </c>
      <c r="F25" s="19"/>
      <c r="G25" t="s">
        <v>1577</v>
      </c>
    </row>
    <row r="26" spans="1:7" x14ac:dyDescent="0.25">
      <c r="A26" s="12">
        <v>45835</v>
      </c>
      <c r="B26" t="s">
        <v>1585</v>
      </c>
      <c r="C26" s="21" t="s">
        <v>1575</v>
      </c>
      <c r="D26" s="17" t="s">
        <v>1613</v>
      </c>
      <c r="E26" s="18">
        <v>2813</v>
      </c>
      <c r="F26" s="19"/>
      <c r="G26" t="s">
        <v>1577</v>
      </c>
    </row>
    <row r="27" spans="1:7" x14ac:dyDescent="0.25">
      <c r="A27" s="12">
        <v>45835</v>
      </c>
      <c r="B27" t="s">
        <v>1586</v>
      </c>
      <c r="C27" s="21" t="s">
        <v>1575</v>
      </c>
      <c r="D27" s="17" t="s">
        <v>1614</v>
      </c>
      <c r="E27" s="18">
        <v>363.89</v>
      </c>
      <c r="F27" s="19"/>
      <c r="G27" t="s">
        <v>1577</v>
      </c>
    </row>
    <row r="28" spans="1:7" x14ac:dyDescent="0.25">
      <c r="A28" s="12">
        <v>45835</v>
      </c>
      <c r="B28" t="s">
        <v>1584</v>
      </c>
      <c r="C28" s="21" t="s">
        <v>1575</v>
      </c>
      <c r="D28" s="17" t="s">
        <v>1615</v>
      </c>
      <c r="E28" s="18">
        <v>563.94000000000005</v>
      </c>
      <c r="F28" s="19"/>
      <c r="G28" t="s">
        <v>1577</v>
      </c>
    </row>
    <row r="29" spans="1:7" x14ac:dyDescent="0.25">
      <c r="A29" s="12">
        <v>45836</v>
      </c>
      <c r="B29" t="s">
        <v>1585</v>
      </c>
      <c r="C29" s="21" t="s">
        <v>1575</v>
      </c>
      <c r="D29" s="17" t="s">
        <v>1616</v>
      </c>
      <c r="E29" s="18">
        <v>5869</v>
      </c>
      <c r="F29" s="19"/>
      <c r="G29" t="s">
        <v>1577</v>
      </c>
    </row>
    <row r="30" spans="1:7" x14ac:dyDescent="0.25">
      <c r="A30" s="12">
        <v>45837</v>
      </c>
      <c r="B30" t="s">
        <v>1585</v>
      </c>
      <c r="C30" s="21" t="s">
        <v>1575</v>
      </c>
      <c r="D30" s="17" t="s">
        <v>1617</v>
      </c>
      <c r="E30" s="18">
        <v>7153</v>
      </c>
      <c r="F30" s="19"/>
      <c r="G30" t="s">
        <v>1577</v>
      </c>
    </row>
    <row r="31" spans="1:7" x14ac:dyDescent="0.25">
      <c r="A31" s="12">
        <v>45838</v>
      </c>
      <c r="B31" t="s">
        <v>1585</v>
      </c>
      <c r="C31" s="21" t="s">
        <v>1575</v>
      </c>
      <c r="D31" s="17" t="s">
        <v>1618</v>
      </c>
      <c r="E31" s="18">
        <v>1383</v>
      </c>
      <c r="F31" s="19"/>
      <c r="G31" t="s">
        <v>1577</v>
      </c>
    </row>
    <row r="32" spans="1:7" x14ac:dyDescent="0.25">
      <c r="A32" s="12">
        <v>45838</v>
      </c>
      <c r="B32" t="s">
        <v>1591</v>
      </c>
      <c r="C32" s="20" t="s">
        <v>1574</v>
      </c>
      <c r="D32" s="17" t="s">
        <v>1579</v>
      </c>
      <c r="E32" s="18">
        <v>42469</v>
      </c>
      <c r="F32" s="19" t="s">
        <v>1624</v>
      </c>
      <c r="G32" t="s">
        <v>1576</v>
      </c>
    </row>
    <row r="33" spans="1:7" x14ac:dyDescent="0.25">
      <c r="A33" s="12">
        <v>45838</v>
      </c>
      <c r="B33" t="s">
        <v>1584</v>
      </c>
      <c r="C33" s="21" t="s">
        <v>1575</v>
      </c>
      <c r="D33" s="17" t="s">
        <v>1619</v>
      </c>
      <c r="E33" s="18">
        <v>7826.71</v>
      </c>
      <c r="F33" s="16"/>
      <c r="G33" t="s">
        <v>1577</v>
      </c>
    </row>
    <row r="34" spans="1:7" x14ac:dyDescent="0.25">
      <c r="A34" s="12"/>
      <c r="C34" s="11"/>
      <c r="D34" s="14"/>
      <c r="E34" s="11"/>
      <c r="F34" s="16"/>
    </row>
    <row r="35" spans="1:7" x14ac:dyDescent="0.25">
      <c r="A35" s="12"/>
      <c r="C35" s="11"/>
      <c r="D35" s="14"/>
      <c r="E35" s="11"/>
      <c r="F35" s="16"/>
    </row>
    <row r="36" spans="1:7" x14ac:dyDescent="0.25">
      <c r="A36" s="12"/>
      <c r="C36" s="11"/>
      <c r="D36" s="14"/>
      <c r="E36" s="11"/>
      <c r="F36" s="16"/>
    </row>
    <row r="37" spans="1:7" x14ac:dyDescent="0.25">
      <c r="A37" s="12"/>
      <c r="C37" s="11"/>
      <c r="D37" s="14"/>
      <c r="E37" s="11"/>
      <c r="F37" s="16"/>
    </row>
    <row r="38" spans="1:7" x14ac:dyDescent="0.25">
      <c r="A38" s="12"/>
      <c r="C38" s="11"/>
      <c r="D38" s="14"/>
      <c r="E38" s="11"/>
      <c r="F38" s="16"/>
    </row>
    <row r="39" spans="1:7" x14ac:dyDescent="0.25">
      <c r="A39" s="12"/>
      <c r="C39" s="11"/>
      <c r="D39" s="14"/>
      <c r="E39" s="11"/>
      <c r="F39" s="16"/>
    </row>
    <row r="40" spans="1:7" x14ac:dyDescent="0.25">
      <c r="A40" s="12"/>
      <c r="C40" s="11"/>
      <c r="D40" s="14"/>
      <c r="E40" s="11"/>
      <c r="F40" s="16"/>
    </row>
    <row r="41" spans="1:7" x14ac:dyDescent="0.25">
      <c r="A41" s="12"/>
      <c r="C41" s="11"/>
      <c r="D41" s="14"/>
      <c r="E41" s="11"/>
      <c r="F41" s="16"/>
    </row>
    <row r="42" spans="1:7" x14ac:dyDescent="0.25">
      <c r="A42" s="12"/>
      <c r="C42" s="11"/>
      <c r="D42" s="14"/>
      <c r="E42" s="11"/>
      <c r="F42" s="16"/>
    </row>
    <row r="43" spans="1:7" x14ac:dyDescent="0.25">
      <c r="A43" s="12"/>
      <c r="C43" s="11"/>
      <c r="D43" s="14"/>
      <c r="E43" s="11"/>
      <c r="F43" s="16"/>
    </row>
    <row r="44" spans="1:7" x14ac:dyDescent="0.25">
      <c r="A44" s="12"/>
      <c r="C44" s="11"/>
      <c r="D44" s="14"/>
      <c r="E44" s="11"/>
      <c r="F44" s="16"/>
    </row>
    <row r="45" spans="1:7" x14ac:dyDescent="0.25">
      <c r="A45" s="12"/>
      <c r="C45" s="11"/>
      <c r="D45" s="14"/>
      <c r="E45" s="11"/>
      <c r="F45" s="16"/>
    </row>
    <row r="46" spans="1:7" x14ac:dyDescent="0.25">
      <c r="A46" s="12"/>
      <c r="C46" s="11"/>
      <c r="D46" s="14"/>
      <c r="E46" s="11"/>
      <c r="F46" s="16"/>
    </row>
    <row r="47" spans="1:7" x14ac:dyDescent="0.25">
      <c r="A47" s="12"/>
      <c r="C47" s="11"/>
      <c r="D47" s="14"/>
      <c r="E47" s="11"/>
      <c r="F47" s="16"/>
    </row>
    <row r="48" spans="1:7" x14ac:dyDescent="0.25">
      <c r="A48" s="12"/>
      <c r="C48" s="11"/>
      <c r="D48" s="14"/>
      <c r="E48" s="11"/>
      <c r="F48" s="16"/>
    </row>
    <row r="49" spans="1:6" x14ac:dyDescent="0.25">
      <c r="A49" s="12"/>
      <c r="C49" s="11"/>
      <c r="D49" s="14"/>
      <c r="E49" s="11"/>
      <c r="F49" s="16"/>
    </row>
    <row r="50" spans="1:6" x14ac:dyDescent="0.25">
      <c r="A50" s="12"/>
      <c r="C50" s="11"/>
      <c r="D50" s="14"/>
      <c r="E50" s="11"/>
      <c r="F50" s="16"/>
    </row>
    <row r="51" spans="1:6" x14ac:dyDescent="0.25">
      <c r="A51" s="12"/>
      <c r="C51" s="11"/>
      <c r="D51" s="14"/>
      <c r="E51" s="11"/>
      <c r="F51" s="16"/>
    </row>
    <row r="52" spans="1:6" x14ac:dyDescent="0.25">
      <c r="A52" s="12"/>
      <c r="C52" s="11"/>
      <c r="D52" s="14"/>
      <c r="E52" s="11"/>
      <c r="F52" s="16"/>
    </row>
    <row r="53" spans="1:6" x14ac:dyDescent="0.25">
      <c r="A53" s="12"/>
      <c r="C53" s="11"/>
      <c r="D53" s="14"/>
      <c r="E53" s="11"/>
      <c r="F53" s="16"/>
    </row>
    <row r="54" spans="1:6" x14ac:dyDescent="0.25">
      <c r="A54" s="12"/>
      <c r="C54" s="11"/>
      <c r="D54" s="14"/>
      <c r="E54" s="11"/>
      <c r="F54" s="16"/>
    </row>
    <row r="55" spans="1:6" x14ac:dyDescent="0.25">
      <c r="A55" s="12"/>
      <c r="C55" s="11"/>
      <c r="D55" s="14"/>
      <c r="E55" s="11"/>
      <c r="F55" s="16"/>
    </row>
    <row r="56" spans="1:6" x14ac:dyDescent="0.25">
      <c r="A56" s="12"/>
      <c r="C56" s="11"/>
      <c r="D56" s="14"/>
      <c r="E56" s="11"/>
      <c r="F56" s="16"/>
    </row>
    <row r="57" spans="1:6" x14ac:dyDescent="0.25">
      <c r="A57" s="12"/>
      <c r="C57" s="11"/>
      <c r="D57" s="14"/>
      <c r="E57" s="11"/>
      <c r="F57" s="16"/>
    </row>
    <row r="58" spans="1:6" x14ac:dyDescent="0.25">
      <c r="A58" s="12"/>
      <c r="C58" s="11"/>
      <c r="D58" s="14"/>
      <c r="E58" s="11"/>
      <c r="F58" s="16"/>
    </row>
    <row r="59" spans="1:6" x14ac:dyDescent="0.25">
      <c r="A59" s="12"/>
      <c r="C59" s="11"/>
      <c r="D59" s="14"/>
      <c r="E59" s="11"/>
      <c r="F59" s="16"/>
    </row>
    <row r="60" spans="1:6" x14ac:dyDescent="0.25">
      <c r="A60" s="12"/>
      <c r="C60" s="11"/>
      <c r="D60" s="14"/>
      <c r="E60" s="11"/>
      <c r="F60" s="16"/>
    </row>
    <row r="61" spans="1:6" x14ac:dyDescent="0.25">
      <c r="A61" s="12"/>
      <c r="C61" s="11"/>
      <c r="D61" s="14"/>
      <c r="E61" s="11"/>
      <c r="F61" s="16"/>
    </row>
    <row r="62" spans="1:6" x14ac:dyDescent="0.25">
      <c r="A62" s="12"/>
      <c r="C62" s="11"/>
      <c r="D62" s="14"/>
      <c r="E62" s="11"/>
      <c r="F62" s="16"/>
    </row>
    <row r="63" spans="1:6" x14ac:dyDescent="0.25">
      <c r="A63" s="12"/>
      <c r="C63" s="11"/>
      <c r="D63" s="14"/>
      <c r="E63" s="11"/>
      <c r="F63" s="16"/>
    </row>
    <row r="64" spans="1:6" x14ac:dyDescent="0.25">
      <c r="A64" s="12"/>
      <c r="C64" s="11"/>
      <c r="D64" s="14"/>
      <c r="E64" s="11"/>
      <c r="F64" s="16"/>
    </row>
    <row r="65" spans="1:6" x14ac:dyDescent="0.25">
      <c r="A65" s="12"/>
      <c r="C65" s="11"/>
      <c r="D65" s="14"/>
      <c r="E65" s="11"/>
      <c r="F65" s="16"/>
    </row>
    <row r="66" spans="1:6" x14ac:dyDescent="0.25">
      <c r="A66" s="12"/>
      <c r="C66" s="11"/>
      <c r="D66" s="14"/>
      <c r="E66" s="11"/>
      <c r="F66" s="16"/>
    </row>
    <row r="67" spans="1:6" x14ac:dyDescent="0.25">
      <c r="A67" s="12"/>
      <c r="C67" s="11"/>
      <c r="D67" s="14"/>
      <c r="E67" s="11"/>
      <c r="F67" s="16"/>
    </row>
    <row r="68" spans="1:6" x14ac:dyDescent="0.25">
      <c r="A68" s="12"/>
      <c r="C68" s="11"/>
      <c r="D68" s="14"/>
      <c r="E68" s="11"/>
      <c r="F68" s="16"/>
    </row>
    <row r="69" spans="1:6" x14ac:dyDescent="0.25">
      <c r="A69" s="12"/>
      <c r="C69" s="11"/>
      <c r="D69" s="14"/>
      <c r="E69" s="11"/>
      <c r="F69" s="16"/>
    </row>
    <row r="70" spans="1:6" x14ac:dyDescent="0.25">
      <c r="A70" s="12"/>
      <c r="C70" s="11"/>
      <c r="D70" s="14"/>
      <c r="E70" s="11"/>
      <c r="F70" s="16"/>
    </row>
    <row r="71" spans="1:6" x14ac:dyDescent="0.25">
      <c r="A71" s="12"/>
      <c r="C71" s="11"/>
      <c r="D71" s="14"/>
      <c r="E71" s="11"/>
      <c r="F71" s="16"/>
    </row>
    <row r="72" spans="1:6" x14ac:dyDescent="0.25">
      <c r="A72" s="12"/>
      <c r="C72" s="11"/>
      <c r="D72" s="14"/>
      <c r="E72" s="11"/>
      <c r="F72" s="16"/>
    </row>
    <row r="73" spans="1:6" x14ac:dyDescent="0.25">
      <c r="A73" s="12"/>
      <c r="C73" s="11"/>
      <c r="D73" s="14"/>
      <c r="E73" s="11"/>
      <c r="F73" s="16"/>
    </row>
    <row r="74" spans="1:6" x14ac:dyDescent="0.25">
      <c r="A74" s="12"/>
      <c r="C74" s="11"/>
      <c r="D74" s="14"/>
      <c r="E74" s="11"/>
      <c r="F74" s="16"/>
    </row>
    <row r="75" spans="1:6" x14ac:dyDescent="0.25">
      <c r="A75" s="12"/>
      <c r="C75" s="11"/>
      <c r="D75" s="14"/>
      <c r="E75" s="11"/>
      <c r="F75" s="16"/>
    </row>
    <row r="76" spans="1:6" x14ac:dyDescent="0.25">
      <c r="A76" s="12"/>
      <c r="C76" s="11"/>
      <c r="D76" s="14"/>
      <c r="E76" s="11"/>
      <c r="F76" s="16"/>
    </row>
    <row r="77" spans="1:6" x14ac:dyDescent="0.25">
      <c r="A77" s="12"/>
      <c r="C77" s="11"/>
      <c r="D77" s="14"/>
      <c r="E77" s="11"/>
      <c r="F77" s="16"/>
    </row>
    <row r="78" spans="1:6" x14ac:dyDescent="0.25">
      <c r="A78" s="12"/>
      <c r="C78" s="11"/>
      <c r="D78" s="14"/>
      <c r="E78" s="11"/>
      <c r="F78" s="16"/>
    </row>
    <row r="79" spans="1:6" x14ac:dyDescent="0.25">
      <c r="A79" s="12"/>
      <c r="C79" s="11"/>
      <c r="D79" s="14"/>
      <c r="E79" s="11"/>
      <c r="F79" s="16"/>
    </row>
    <row r="80" spans="1:6" x14ac:dyDescent="0.25">
      <c r="A80" s="12"/>
      <c r="C80" s="11"/>
      <c r="D80" s="14"/>
      <c r="E80" s="11"/>
      <c r="F80" s="16"/>
    </row>
    <row r="81" spans="1:6" x14ac:dyDescent="0.25">
      <c r="A81" s="12"/>
      <c r="C81" s="11"/>
      <c r="D81" s="14"/>
      <c r="E81" s="11"/>
      <c r="F81" s="16"/>
    </row>
    <row r="82" spans="1:6" x14ac:dyDescent="0.25">
      <c r="A82" s="12"/>
      <c r="C82" s="11"/>
      <c r="D82" s="14"/>
      <c r="E82" s="11"/>
      <c r="F82" s="16"/>
    </row>
    <row r="83" spans="1:6" x14ac:dyDescent="0.25">
      <c r="A83" s="12"/>
      <c r="C83" s="11"/>
      <c r="D83" s="14"/>
      <c r="E83" s="11"/>
      <c r="F83" s="16"/>
    </row>
    <row r="84" spans="1:6" x14ac:dyDescent="0.25">
      <c r="A84" s="12"/>
      <c r="C84" s="11"/>
      <c r="D84" s="14"/>
      <c r="E84" s="11"/>
      <c r="F84" s="16"/>
    </row>
    <row r="85" spans="1:6" x14ac:dyDescent="0.25">
      <c r="A85" s="12"/>
      <c r="C85" s="11"/>
      <c r="D85" s="14"/>
      <c r="E85" s="11"/>
      <c r="F85" s="16"/>
    </row>
    <row r="86" spans="1:6" x14ac:dyDescent="0.25">
      <c r="A86" s="12"/>
      <c r="C86" s="11"/>
      <c r="D86" s="14"/>
      <c r="E86" s="11"/>
      <c r="F86" s="16"/>
    </row>
    <row r="87" spans="1:6" x14ac:dyDescent="0.25">
      <c r="A87" s="12"/>
      <c r="C87" s="11"/>
      <c r="D87" s="14"/>
      <c r="E87" s="11"/>
      <c r="F87" s="16"/>
    </row>
    <row r="88" spans="1:6" x14ac:dyDescent="0.25">
      <c r="A88" s="12"/>
      <c r="C88" s="11"/>
      <c r="D88" s="14"/>
      <c r="E88" s="11"/>
      <c r="F88" s="16"/>
    </row>
    <row r="89" spans="1:6" x14ac:dyDescent="0.25">
      <c r="A89" s="12"/>
      <c r="C89" s="11"/>
      <c r="D89" s="14"/>
      <c r="E89" s="11"/>
      <c r="F89" s="16"/>
    </row>
    <row r="90" spans="1:6" x14ac:dyDescent="0.25">
      <c r="A90" s="12"/>
      <c r="C90" s="11"/>
      <c r="D90" s="14"/>
      <c r="E90" s="11"/>
      <c r="F90" s="16"/>
    </row>
    <row r="91" spans="1:6" x14ac:dyDescent="0.25">
      <c r="A91" s="12"/>
      <c r="C91" s="11"/>
      <c r="D91" s="14"/>
      <c r="E91" s="11"/>
      <c r="F91" s="16"/>
    </row>
    <row r="92" spans="1:6" x14ac:dyDescent="0.25">
      <c r="A92" s="12"/>
      <c r="C92" s="11"/>
      <c r="D92" s="14"/>
      <c r="E92" s="11"/>
      <c r="F92" s="16"/>
    </row>
    <row r="93" spans="1:6" x14ac:dyDescent="0.25">
      <c r="A93" s="12"/>
      <c r="C93" s="11"/>
      <c r="D93" s="14"/>
      <c r="E93" s="11"/>
      <c r="F93" s="16"/>
    </row>
    <row r="94" spans="1:6" x14ac:dyDescent="0.25">
      <c r="A94" s="12"/>
      <c r="C94" s="11"/>
      <c r="D94" s="14"/>
      <c r="E94" s="11"/>
      <c r="F94" s="16"/>
    </row>
    <row r="95" spans="1:6" x14ac:dyDescent="0.25">
      <c r="A95" s="12"/>
      <c r="C95" s="11"/>
      <c r="D95" s="14"/>
      <c r="E95" s="11"/>
      <c r="F95" s="16"/>
    </row>
    <row r="96" spans="1:6" x14ac:dyDescent="0.25">
      <c r="A96" s="12"/>
      <c r="C96" s="11"/>
      <c r="D96" s="14"/>
      <c r="E96" s="11"/>
      <c r="F96" s="16"/>
    </row>
    <row r="97" spans="1:6" x14ac:dyDescent="0.25">
      <c r="A97" s="12"/>
      <c r="C97" s="11"/>
      <c r="D97" s="14"/>
      <c r="E97" s="11"/>
      <c r="F97" s="16"/>
    </row>
    <row r="98" spans="1:6" x14ac:dyDescent="0.25">
      <c r="A98" s="12"/>
      <c r="C98" s="11"/>
      <c r="D98" s="14"/>
      <c r="E98" s="11"/>
      <c r="F98" s="16"/>
    </row>
    <row r="99" spans="1:6" x14ac:dyDescent="0.25">
      <c r="A99" s="12"/>
      <c r="C99" s="11"/>
      <c r="D99" s="14"/>
      <c r="E99" s="11"/>
      <c r="F99" s="16"/>
    </row>
    <row r="100" spans="1:6" x14ac:dyDescent="0.25">
      <c r="A100" s="12"/>
      <c r="C100" s="11"/>
      <c r="D100" s="14"/>
      <c r="E100" s="11"/>
      <c r="F100" s="16"/>
    </row>
    <row r="101" spans="1:6" x14ac:dyDescent="0.25">
      <c r="A101" s="12"/>
      <c r="C101" s="11"/>
      <c r="D101" s="14"/>
      <c r="E101" s="11"/>
      <c r="F101" s="16"/>
    </row>
    <row r="102" spans="1:6" x14ac:dyDescent="0.25">
      <c r="A102" s="12"/>
      <c r="C102" s="11"/>
      <c r="D102" s="14"/>
      <c r="E102" s="11"/>
      <c r="F102" s="16"/>
    </row>
    <row r="103" spans="1:6" x14ac:dyDescent="0.25">
      <c r="A103" s="12"/>
      <c r="C103" s="11"/>
      <c r="D103" s="14"/>
      <c r="E103" s="11"/>
      <c r="F103" s="16"/>
    </row>
    <row r="104" spans="1:6" x14ac:dyDescent="0.25">
      <c r="A104" s="12"/>
      <c r="C104" s="11"/>
      <c r="D104" s="14"/>
      <c r="E104" s="11"/>
      <c r="F104" s="16"/>
    </row>
    <row r="105" spans="1:6" x14ac:dyDescent="0.25">
      <c r="A105" s="12"/>
      <c r="C105" s="11"/>
      <c r="D105" s="14"/>
      <c r="E105" s="11"/>
      <c r="F105" s="16"/>
    </row>
    <row r="106" spans="1:6" x14ac:dyDescent="0.25">
      <c r="A106" s="12"/>
      <c r="C106" s="11"/>
      <c r="D106" s="14"/>
      <c r="E106" s="11"/>
      <c r="F106" s="16"/>
    </row>
    <row r="107" spans="1:6" x14ac:dyDescent="0.25">
      <c r="A107" s="12"/>
      <c r="C107" s="11"/>
      <c r="D107" s="14"/>
      <c r="E107" s="11"/>
      <c r="F107" s="16"/>
    </row>
    <row r="108" spans="1:6" x14ac:dyDescent="0.25">
      <c r="A108" s="12"/>
      <c r="C108" s="11"/>
      <c r="D108" s="14"/>
      <c r="E108" s="11"/>
      <c r="F108" s="16"/>
    </row>
    <row r="109" spans="1:6" x14ac:dyDescent="0.25">
      <c r="A109" s="12"/>
      <c r="C109" s="11"/>
      <c r="D109" s="14"/>
      <c r="E109" s="11"/>
      <c r="F109" s="16"/>
    </row>
    <row r="110" spans="1:6" x14ac:dyDescent="0.25">
      <c r="A110" s="12"/>
      <c r="C110" s="11"/>
      <c r="D110" s="14"/>
      <c r="E110" s="11"/>
      <c r="F110" s="16"/>
    </row>
    <row r="111" spans="1:6" x14ac:dyDescent="0.25">
      <c r="A111" s="12"/>
      <c r="C111" s="11"/>
      <c r="D111" s="14"/>
      <c r="E111" s="11"/>
      <c r="F111" s="16"/>
    </row>
    <row r="112" spans="1:6" x14ac:dyDescent="0.25">
      <c r="A112" s="12"/>
      <c r="C112" s="11"/>
      <c r="D112" s="14"/>
      <c r="E112" s="11"/>
      <c r="F112" s="16"/>
    </row>
    <row r="113" spans="1:6" x14ac:dyDescent="0.25">
      <c r="A113" s="12"/>
      <c r="C113" s="11"/>
      <c r="D113" s="14"/>
      <c r="E113" s="11"/>
      <c r="F113" s="16"/>
    </row>
    <row r="114" spans="1:6" x14ac:dyDescent="0.25">
      <c r="A114" s="12"/>
      <c r="C114" s="11"/>
      <c r="D114" s="14"/>
      <c r="E114" s="11"/>
      <c r="F114" s="16"/>
    </row>
    <row r="115" spans="1:6" x14ac:dyDescent="0.25">
      <c r="A115" s="12"/>
      <c r="C115" s="11"/>
      <c r="D115" s="14"/>
      <c r="E115" s="11"/>
      <c r="F115" s="16"/>
    </row>
    <row r="116" spans="1:6" x14ac:dyDescent="0.25">
      <c r="A116" s="12"/>
      <c r="C116" s="11"/>
      <c r="D116" s="14"/>
      <c r="E116" s="11"/>
      <c r="F116" s="16"/>
    </row>
    <row r="117" spans="1:6" x14ac:dyDescent="0.25">
      <c r="A117" s="12"/>
      <c r="C117" s="11"/>
      <c r="D117" s="14"/>
      <c r="E117" s="11"/>
      <c r="F117" s="16"/>
    </row>
    <row r="118" spans="1:6" x14ac:dyDescent="0.25">
      <c r="A118" s="12"/>
      <c r="C118" s="11"/>
      <c r="D118" s="14"/>
      <c r="E118" s="11"/>
      <c r="F118" s="16"/>
    </row>
    <row r="119" spans="1:6" x14ac:dyDescent="0.25">
      <c r="A119" s="12"/>
      <c r="C119" s="11"/>
      <c r="D119" s="14"/>
      <c r="E119" s="11"/>
      <c r="F119" s="16"/>
    </row>
    <row r="120" spans="1:6" x14ac:dyDescent="0.25">
      <c r="A120" s="12"/>
      <c r="C120" s="11"/>
      <c r="D120" s="14"/>
      <c r="E120" s="11"/>
      <c r="F120" s="16"/>
    </row>
    <row r="121" spans="1:6" x14ac:dyDescent="0.25">
      <c r="A121" s="12"/>
      <c r="C121" s="11"/>
      <c r="D121" s="14"/>
      <c r="E121" s="11"/>
      <c r="F121" s="16"/>
    </row>
    <row r="122" spans="1:6" x14ac:dyDescent="0.25">
      <c r="A122" s="12"/>
      <c r="C122" s="11"/>
      <c r="D122" s="14"/>
      <c r="E122" s="11"/>
      <c r="F122" s="16"/>
    </row>
    <row r="123" spans="1:6" x14ac:dyDescent="0.25">
      <c r="A123" s="12"/>
      <c r="C123" s="11"/>
      <c r="D123" s="14"/>
      <c r="E123" s="11"/>
      <c r="F123" s="16"/>
    </row>
    <row r="124" spans="1:6" x14ac:dyDescent="0.25">
      <c r="A124" s="12"/>
      <c r="C124" s="11"/>
      <c r="D124" s="14"/>
      <c r="E124" s="11"/>
      <c r="F124" s="16"/>
    </row>
    <row r="125" spans="1:6" x14ac:dyDescent="0.25">
      <c r="A125" s="12"/>
      <c r="C125" s="11"/>
      <c r="D125" s="14"/>
      <c r="E125" s="11"/>
      <c r="F125" s="16"/>
    </row>
    <row r="126" spans="1:6" x14ac:dyDescent="0.25">
      <c r="A126" s="12"/>
      <c r="C126" s="11"/>
      <c r="D126" s="14"/>
      <c r="E126" s="11"/>
      <c r="F126" s="16"/>
    </row>
    <row r="127" spans="1:6" x14ac:dyDescent="0.25">
      <c r="A127" s="12"/>
      <c r="C127" s="11"/>
      <c r="D127" s="14"/>
      <c r="E127" s="11"/>
      <c r="F127" s="16"/>
    </row>
    <row r="128" spans="1:6" x14ac:dyDescent="0.25">
      <c r="A128" s="12"/>
      <c r="C128" s="11"/>
      <c r="D128" s="14"/>
      <c r="E128" s="11"/>
      <c r="F128" s="16"/>
    </row>
    <row r="129" spans="1:6" x14ac:dyDescent="0.25">
      <c r="A129" s="12"/>
      <c r="C129" s="11"/>
      <c r="D129" s="14"/>
      <c r="E129" s="11"/>
      <c r="F129" s="16"/>
    </row>
    <row r="130" spans="1:6" x14ac:dyDescent="0.25">
      <c r="A130" s="12"/>
      <c r="C130" s="11"/>
      <c r="D130" s="14"/>
      <c r="E130" s="11"/>
      <c r="F130" s="16"/>
    </row>
    <row r="131" spans="1:6" x14ac:dyDescent="0.25">
      <c r="A131" s="12"/>
      <c r="C131" s="11"/>
      <c r="D131" s="14"/>
      <c r="E131" s="11"/>
      <c r="F131" s="16"/>
    </row>
    <row r="132" spans="1:6" x14ac:dyDescent="0.25">
      <c r="A132" s="12"/>
      <c r="C132" s="11"/>
      <c r="D132" s="14"/>
      <c r="E132" s="11"/>
      <c r="F132" s="16"/>
    </row>
    <row r="133" spans="1:6" x14ac:dyDescent="0.25">
      <c r="A133" s="12"/>
      <c r="C133" s="11"/>
      <c r="D133" s="14"/>
      <c r="E133" s="11"/>
      <c r="F133" s="16"/>
    </row>
    <row r="134" spans="1:6" x14ac:dyDescent="0.25">
      <c r="A134" s="12"/>
      <c r="C134" s="11"/>
      <c r="D134" s="14"/>
      <c r="E134" s="11"/>
      <c r="F134" s="16"/>
    </row>
    <row r="135" spans="1:6" x14ac:dyDescent="0.25">
      <c r="A135" s="12"/>
      <c r="C135" s="11"/>
      <c r="D135" s="14"/>
      <c r="E135" s="11"/>
      <c r="F135" s="16"/>
    </row>
    <row r="136" spans="1:6" x14ac:dyDescent="0.25">
      <c r="A136" s="12"/>
      <c r="C136" s="11"/>
      <c r="D136" s="14"/>
      <c r="E136" s="11"/>
      <c r="F136" s="16"/>
    </row>
    <row r="137" spans="1:6" x14ac:dyDescent="0.25">
      <c r="A137" s="12"/>
      <c r="C137" s="11"/>
      <c r="D137" s="14"/>
      <c r="E137" s="11"/>
      <c r="F137" s="16"/>
    </row>
    <row r="138" spans="1:6" x14ac:dyDescent="0.25">
      <c r="A138" s="12"/>
      <c r="C138" s="11"/>
      <c r="D138" s="14"/>
      <c r="E138" s="11"/>
      <c r="F138" s="16"/>
    </row>
    <row r="139" spans="1:6" x14ac:dyDescent="0.25">
      <c r="A139" s="12"/>
      <c r="C139" s="11"/>
      <c r="D139" s="14"/>
      <c r="E139" s="11"/>
      <c r="F139" s="16"/>
    </row>
    <row r="140" spans="1:6" x14ac:dyDescent="0.25">
      <c r="A140" s="12"/>
      <c r="C140" s="11"/>
      <c r="D140" s="14"/>
      <c r="E140" s="11"/>
      <c r="F140" s="16"/>
    </row>
    <row r="141" spans="1:6" x14ac:dyDescent="0.25">
      <c r="A141" s="12"/>
      <c r="C141" s="11"/>
      <c r="D141" s="14"/>
      <c r="E141" s="11"/>
      <c r="F141" s="16"/>
    </row>
    <row r="142" spans="1:6" x14ac:dyDescent="0.25">
      <c r="A142" s="12"/>
      <c r="C142" s="11"/>
      <c r="D142" s="14"/>
      <c r="E142" s="11"/>
      <c r="F142" s="16"/>
    </row>
    <row r="143" spans="1:6" x14ac:dyDescent="0.25">
      <c r="A143" s="12"/>
      <c r="C143" s="11"/>
      <c r="D143" s="14"/>
      <c r="E143" s="11"/>
      <c r="F143" s="16"/>
    </row>
    <row r="144" spans="1:6" x14ac:dyDescent="0.25">
      <c r="A144" s="12"/>
      <c r="C144" s="11"/>
      <c r="D144" s="14"/>
      <c r="E144" s="11"/>
      <c r="F144" s="16"/>
    </row>
    <row r="145" spans="1:6" x14ac:dyDescent="0.25">
      <c r="A145" s="12"/>
      <c r="C145" s="11"/>
      <c r="D145" s="14"/>
      <c r="E145" s="11"/>
      <c r="F145" s="16"/>
    </row>
    <row r="146" spans="1:6" x14ac:dyDescent="0.25">
      <c r="A146" s="12"/>
      <c r="C146" s="11"/>
      <c r="D146" s="14"/>
      <c r="E146" s="11"/>
      <c r="F146" s="16"/>
    </row>
    <row r="147" spans="1:6" x14ac:dyDescent="0.25">
      <c r="A147" s="12"/>
      <c r="C147" s="11"/>
      <c r="D147" s="14"/>
      <c r="E147" s="11"/>
      <c r="F147" s="16"/>
    </row>
    <row r="148" spans="1:6" x14ac:dyDescent="0.25">
      <c r="A148" s="12"/>
      <c r="C148" s="11"/>
      <c r="D148" s="14"/>
      <c r="E148" s="11"/>
      <c r="F148" s="16"/>
    </row>
    <row r="149" spans="1:6" x14ac:dyDescent="0.25">
      <c r="A149" s="12"/>
      <c r="C149" s="11"/>
      <c r="D149" s="14"/>
      <c r="E149" s="11"/>
      <c r="F149" s="16"/>
    </row>
    <row r="150" spans="1:6" x14ac:dyDescent="0.25">
      <c r="A150" s="12"/>
      <c r="C150" s="11"/>
      <c r="D150" s="14"/>
      <c r="E150" s="11"/>
      <c r="F150" s="16"/>
    </row>
    <row r="151" spans="1:6" x14ac:dyDescent="0.25">
      <c r="A151" s="12"/>
      <c r="C151" s="11"/>
      <c r="D151" s="14"/>
      <c r="E151" s="11"/>
      <c r="F151" s="16"/>
    </row>
    <row r="152" spans="1:6" x14ac:dyDescent="0.25">
      <c r="A152" s="12"/>
      <c r="C152" s="11"/>
      <c r="D152" s="14"/>
      <c r="E152" s="11"/>
      <c r="F152" s="16"/>
    </row>
    <row r="153" spans="1:6" x14ac:dyDescent="0.25">
      <c r="A153" s="12"/>
      <c r="C153" s="11"/>
      <c r="D153" s="14"/>
      <c r="E153" s="11"/>
      <c r="F153" s="16"/>
    </row>
    <row r="154" spans="1:6" x14ac:dyDescent="0.25">
      <c r="A154" s="12"/>
      <c r="C154" s="11"/>
      <c r="D154" s="14"/>
      <c r="E154" s="11"/>
      <c r="F154" s="16"/>
    </row>
    <row r="155" spans="1:6" x14ac:dyDescent="0.25">
      <c r="A155" s="12"/>
      <c r="C155" s="11"/>
      <c r="D155" s="14"/>
      <c r="E155" s="11"/>
      <c r="F155" s="16"/>
    </row>
    <row r="156" spans="1:6" x14ac:dyDescent="0.25">
      <c r="A156" s="12"/>
      <c r="C156" s="11"/>
      <c r="D156" s="14"/>
      <c r="E156" s="11"/>
      <c r="F156" s="16"/>
    </row>
    <row r="157" spans="1:6" x14ac:dyDescent="0.25">
      <c r="A157" s="12"/>
      <c r="C157" s="11"/>
      <c r="D157" s="14"/>
      <c r="E157" s="11"/>
      <c r="F157" s="16"/>
    </row>
    <row r="158" spans="1:6" x14ac:dyDescent="0.25">
      <c r="A158" s="12"/>
      <c r="C158" s="11"/>
      <c r="D158" s="14"/>
      <c r="E158" s="11"/>
      <c r="F158" s="16"/>
    </row>
    <row r="159" spans="1:6" x14ac:dyDescent="0.25">
      <c r="A159" s="12"/>
      <c r="C159" s="11"/>
      <c r="D159" s="14"/>
      <c r="E159" s="11"/>
      <c r="F159" s="16"/>
    </row>
    <row r="160" spans="1:6" x14ac:dyDescent="0.25">
      <c r="A160" s="12"/>
      <c r="C160" s="11"/>
      <c r="D160" s="14"/>
      <c r="E160" s="11"/>
      <c r="F160" s="16"/>
    </row>
    <row r="161" spans="1:6" x14ac:dyDescent="0.25">
      <c r="A161" s="12"/>
      <c r="C161" s="11"/>
      <c r="D161" s="14"/>
      <c r="E161" s="11"/>
      <c r="F161" s="16"/>
    </row>
    <row r="162" spans="1:6" x14ac:dyDescent="0.25">
      <c r="A162" s="12"/>
      <c r="C162" s="11"/>
      <c r="D162" s="14"/>
      <c r="E162" s="11"/>
      <c r="F162" s="16"/>
    </row>
    <row r="163" spans="1:6" x14ac:dyDescent="0.25">
      <c r="A163" s="12"/>
      <c r="C163" s="11"/>
      <c r="D163" s="14"/>
      <c r="E163" s="11"/>
      <c r="F163" s="16"/>
    </row>
    <row r="164" spans="1:6" x14ac:dyDescent="0.25">
      <c r="A164" s="12"/>
      <c r="C164" s="11"/>
      <c r="D164" s="14"/>
      <c r="E164" s="11"/>
      <c r="F164" s="16"/>
    </row>
    <row r="165" spans="1:6" x14ac:dyDescent="0.25">
      <c r="A165" s="12"/>
      <c r="C165" s="11"/>
      <c r="D165" s="14"/>
      <c r="E165" s="11"/>
      <c r="F165" s="16"/>
    </row>
    <row r="166" spans="1:6" x14ac:dyDescent="0.25">
      <c r="A166" s="12"/>
      <c r="C166" s="11"/>
      <c r="D166" s="14"/>
      <c r="E166" s="11"/>
      <c r="F166" s="16"/>
    </row>
    <row r="167" spans="1:6" x14ac:dyDescent="0.25">
      <c r="A167" s="12"/>
      <c r="C167" s="11"/>
      <c r="D167" s="14"/>
      <c r="E167" s="11"/>
      <c r="F167" s="16"/>
    </row>
    <row r="168" spans="1:6" x14ac:dyDescent="0.25">
      <c r="A168" s="12"/>
      <c r="C168" s="11"/>
      <c r="D168" s="14"/>
      <c r="E168" s="11"/>
      <c r="F168" s="16"/>
    </row>
    <row r="169" spans="1:6" x14ac:dyDescent="0.25">
      <c r="A169" s="12"/>
      <c r="C169" s="11"/>
      <c r="D169" s="14"/>
      <c r="E169" s="11"/>
      <c r="F169" s="16"/>
    </row>
    <row r="170" spans="1:6" x14ac:dyDescent="0.25">
      <c r="A170" s="12"/>
      <c r="C170" s="11"/>
      <c r="D170" s="14"/>
      <c r="E170" s="11"/>
      <c r="F170" s="16"/>
    </row>
    <row r="171" spans="1:6" x14ac:dyDescent="0.25">
      <c r="A171" s="12"/>
      <c r="C171" s="11"/>
      <c r="D171" s="14"/>
      <c r="E171" s="11"/>
      <c r="F171" s="16"/>
    </row>
    <row r="172" spans="1:6" x14ac:dyDescent="0.25">
      <c r="A172" s="12"/>
      <c r="C172" s="11"/>
      <c r="D172" s="14"/>
      <c r="E172" s="11"/>
      <c r="F172" s="16"/>
    </row>
    <row r="173" spans="1:6" x14ac:dyDescent="0.25">
      <c r="A173" s="12"/>
      <c r="C173" s="11"/>
      <c r="D173" s="14"/>
      <c r="E173" s="11"/>
      <c r="F173" s="16"/>
    </row>
    <row r="174" spans="1:6" x14ac:dyDescent="0.25">
      <c r="A174" s="12"/>
      <c r="C174" s="11"/>
      <c r="D174" s="14"/>
      <c r="E174" s="11"/>
      <c r="F174" s="16"/>
    </row>
    <row r="175" spans="1:6" x14ac:dyDescent="0.25">
      <c r="A175" s="12"/>
      <c r="C175" s="11"/>
      <c r="D175" s="14"/>
      <c r="E175" s="11"/>
      <c r="F175" s="16"/>
    </row>
    <row r="176" spans="1:6" x14ac:dyDescent="0.25">
      <c r="A176" s="12"/>
      <c r="C176" s="11"/>
      <c r="D176" s="14"/>
      <c r="E176" s="11"/>
      <c r="F176" s="16"/>
    </row>
    <row r="177" spans="1:6" x14ac:dyDescent="0.25">
      <c r="A177" s="12"/>
      <c r="C177" s="11"/>
      <c r="D177" s="14"/>
      <c r="E177" s="11"/>
      <c r="F177" s="16"/>
    </row>
    <row r="178" spans="1:6" x14ac:dyDescent="0.25">
      <c r="A178" s="12"/>
      <c r="C178" s="11"/>
      <c r="D178" s="14"/>
      <c r="E178" s="11"/>
      <c r="F178" s="16"/>
    </row>
    <row r="179" spans="1:6" x14ac:dyDescent="0.25">
      <c r="A179" s="12"/>
      <c r="C179" s="11"/>
      <c r="D179" s="14"/>
      <c r="E179" s="11"/>
      <c r="F179" s="16"/>
    </row>
    <row r="180" spans="1:6" x14ac:dyDescent="0.25">
      <c r="A180" s="12"/>
      <c r="C180" s="11"/>
      <c r="D180" s="14"/>
      <c r="E180" s="11"/>
      <c r="F180" s="16"/>
    </row>
    <row r="181" spans="1:6" x14ac:dyDescent="0.25">
      <c r="A181" s="12"/>
      <c r="C181" s="11"/>
      <c r="D181" s="14"/>
      <c r="E181" s="11"/>
      <c r="F181" s="16"/>
    </row>
    <row r="182" spans="1:6" x14ac:dyDescent="0.25">
      <c r="A182" s="12"/>
      <c r="C182" s="11"/>
      <c r="D182" s="14"/>
      <c r="E182" s="11"/>
      <c r="F182" s="16"/>
    </row>
    <row r="183" spans="1:6" x14ac:dyDescent="0.25">
      <c r="A183" s="12"/>
      <c r="C183" s="11"/>
      <c r="D183" s="14"/>
      <c r="E183" s="11"/>
      <c r="F183" s="16"/>
    </row>
    <row r="184" spans="1:6" x14ac:dyDescent="0.25">
      <c r="A184" s="12"/>
      <c r="C184" s="11"/>
      <c r="D184" s="14"/>
      <c r="E184" s="11"/>
      <c r="F184" s="16"/>
    </row>
    <row r="185" spans="1:6" x14ac:dyDescent="0.25">
      <c r="A185" s="12"/>
      <c r="C185" s="11"/>
      <c r="D185" s="14"/>
      <c r="E185" s="11"/>
      <c r="F185" s="16"/>
    </row>
    <row r="186" spans="1:6" x14ac:dyDescent="0.25">
      <c r="A186" s="12"/>
      <c r="C186" s="11"/>
      <c r="D186" s="14"/>
      <c r="E186" s="11"/>
      <c r="F186" s="16"/>
    </row>
    <row r="187" spans="1:6" x14ac:dyDescent="0.25">
      <c r="A187" s="12"/>
      <c r="C187" s="11"/>
      <c r="D187" s="14"/>
      <c r="E187" s="11"/>
      <c r="F187" s="16"/>
    </row>
    <row r="188" spans="1:6" x14ac:dyDescent="0.25">
      <c r="A188" s="12"/>
      <c r="C188" s="11"/>
      <c r="D188" s="14"/>
      <c r="E188" s="11"/>
      <c r="F188" s="16"/>
    </row>
    <row r="189" spans="1:6" x14ac:dyDescent="0.25">
      <c r="A189" s="12"/>
      <c r="C189" s="11"/>
      <c r="D189" s="14"/>
      <c r="E189" s="11"/>
      <c r="F189" s="16"/>
    </row>
    <row r="190" spans="1:6" x14ac:dyDescent="0.25">
      <c r="A190" s="12"/>
      <c r="C190" s="11"/>
      <c r="D190" s="14"/>
      <c r="E190" s="11"/>
      <c r="F190" s="16"/>
    </row>
    <row r="191" spans="1:6" x14ac:dyDescent="0.25">
      <c r="A191" s="12"/>
      <c r="C191" s="11"/>
      <c r="D191" s="14"/>
      <c r="E191" s="11"/>
      <c r="F191" s="16"/>
    </row>
    <row r="192" spans="1:6" x14ac:dyDescent="0.25">
      <c r="A192" s="12"/>
      <c r="C192" s="11"/>
      <c r="D192" s="14"/>
      <c r="E192" s="11"/>
      <c r="F192" s="16"/>
    </row>
    <row r="193" spans="1:6" x14ac:dyDescent="0.25">
      <c r="A193" s="12"/>
      <c r="C193" s="11"/>
      <c r="D193" s="14"/>
      <c r="E193" s="11"/>
      <c r="F193" s="16"/>
    </row>
    <row r="194" spans="1:6" x14ac:dyDescent="0.25">
      <c r="A194" s="12"/>
      <c r="C194" s="11"/>
      <c r="D194" s="14"/>
      <c r="E194" s="11"/>
      <c r="F194" s="16"/>
    </row>
    <row r="195" spans="1:6" x14ac:dyDescent="0.25">
      <c r="A195" s="12"/>
      <c r="C195" s="11"/>
      <c r="D195" s="14"/>
      <c r="E195" s="11"/>
      <c r="F195" s="16"/>
    </row>
    <row r="196" spans="1:6" x14ac:dyDescent="0.25">
      <c r="A196" s="12"/>
      <c r="C196" s="11"/>
      <c r="D196" s="14"/>
      <c r="E196" s="11"/>
      <c r="F196" s="16"/>
    </row>
    <row r="197" spans="1:6" x14ac:dyDescent="0.25">
      <c r="A197" s="12"/>
      <c r="C197" s="11"/>
      <c r="D197" s="14"/>
      <c r="E197" s="11"/>
      <c r="F197" s="16"/>
    </row>
    <row r="198" spans="1:6" x14ac:dyDescent="0.25">
      <c r="A198" s="12"/>
      <c r="C198" s="11"/>
      <c r="D198" s="14"/>
      <c r="E198" s="11"/>
      <c r="F198" s="16"/>
    </row>
    <row r="199" spans="1:6" x14ac:dyDescent="0.25">
      <c r="A199" s="12"/>
      <c r="C199" s="11"/>
      <c r="D199" s="14"/>
      <c r="E199" s="11"/>
      <c r="F199" s="16"/>
    </row>
    <row r="200" spans="1:6" x14ac:dyDescent="0.25">
      <c r="A200" s="12"/>
      <c r="C200" s="11"/>
      <c r="D200" s="14"/>
      <c r="E200" s="11"/>
      <c r="F200" s="16"/>
    </row>
    <row r="201" spans="1:6" x14ac:dyDescent="0.25">
      <c r="A201" s="12"/>
      <c r="C201" s="11"/>
      <c r="D201" s="14"/>
      <c r="E201" s="11"/>
      <c r="F201" s="16"/>
    </row>
    <row r="202" spans="1:6" x14ac:dyDescent="0.25">
      <c r="A202" s="12"/>
      <c r="C202" s="11"/>
      <c r="D202" s="14"/>
      <c r="E202" s="11"/>
      <c r="F202" s="16"/>
    </row>
    <row r="203" spans="1:6" x14ac:dyDescent="0.25">
      <c r="A203" s="12"/>
      <c r="C203" s="11"/>
      <c r="D203" s="14"/>
      <c r="E203" s="11"/>
      <c r="F203" s="16"/>
    </row>
    <row r="204" spans="1:6" x14ac:dyDescent="0.25">
      <c r="A204" s="12"/>
      <c r="C204" s="11"/>
      <c r="D204" s="14"/>
      <c r="E204" s="11"/>
      <c r="F204" s="16"/>
    </row>
    <row r="205" spans="1:6" x14ac:dyDescent="0.25">
      <c r="A205" s="12"/>
      <c r="C205" s="11"/>
      <c r="D205" s="14"/>
      <c r="E205" s="11"/>
      <c r="F205" s="16"/>
    </row>
    <row r="206" spans="1:6" x14ac:dyDescent="0.25">
      <c r="A206" s="12"/>
      <c r="C206" s="11"/>
      <c r="D206" s="14"/>
      <c r="E206" s="11"/>
      <c r="F206" s="16"/>
    </row>
    <row r="207" spans="1:6" x14ac:dyDescent="0.25">
      <c r="A207" s="12"/>
      <c r="C207" s="11"/>
      <c r="D207" s="14"/>
      <c r="E207" s="11"/>
      <c r="F207" s="16"/>
    </row>
    <row r="208" spans="1:6" x14ac:dyDescent="0.25">
      <c r="A208" s="12"/>
      <c r="C208" s="11"/>
      <c r="D208" s="14"/>
      <c r="E208" s="11"/>
      <c r="F208" s="16"/>
    </row>
    <row r="209" spans="1:6" x14ac:dyDescent="0.25">
      <c r="A209" s="12"/>
      <c r="C209" s="11"/>
      <c r="D209" s="14"/>
      <c r="E209" s="11"/>
      <c r="F209" s="16"/>
    </row>
    <row r="210" spans="1:6" x14ac:dyDescent="0.25">
      <c r="A210" s="12"/>
      <c r="C210" s="11"/>
      <c r="D210" s="14"/>
      <c r="E210" s="11"/>
      <c r="F210" s="16"/>
    </row>
    <row r="211" spans="1:6" x14ac:dyDescent="0.25">
      <c r="A211" s="12"/>
      <c r="C211" s="11"/>
      <c r="D211" s="14"/>
      <c r="E211" s="11"/>
      <c r="F211" s="16"/>
    </row>
    <row r="212" spans="1:6" x14ac:dyDescent="0.25">
      <c r="A212" s="12"/>
      <c r="C212" s="11"/>
      <c r="D212" s="14"/>
      <c r="E212" s="11"/>
      <c r="F212" s="16"/>
    </row>
    <row r="213" spans="1:6" x14ac:dyDescent="0.25">
      <c r="A213" s="12"/>
      <c r="C213" s="11"/>
      <c r="D213" s="14"/>
      <c r="E213" s="11"/>
      <c r="F213" s="16"/>
    </row>
    <row r="214" spans="1:6" x14ac:dyDescent="0.25">
      <c r="A214" s="12"/>
      <c r="C214" s="11"/>
      <c r="D214" s="14"/>
      <c r="E214" s="11"/>
      <c r="F214" s="16"/>
    </row>
    <row r="215" spans="1:6" x14ac:dyDescent="0.25">
      <c r="A215" s="12"/>
      <c r="C215" s="11"/>
      <c r="D215" s="14"/>
      <c r="E215" s="11"/>
      <c r="F215" s="16"/>
    </row>
    <row r="216" spans="1:6" x14ac:dyDescent="0.25">
      <c r="A216" s="12"/>
      <c r="C216" s="11"/>
      <c r="D216" s="14"/>
      <c r="E216" s="11"/>
      <c r="F216" s="16"/>
    </row>
    <row r="217" spans="1:6" x14ac:dyDescent="0.25">
      <c r="A217" s="12"/>
      <c r="C217" s="11"/>
      <c r="D217" s="14"/>
      <c r="E217" s="11"/>
      <c r="F217" s="16"/>
    </row>
    <row r="218" spans="1:6" x14ac:dyDescent="0.25">
      <c r="A218" s="12"/>
      <c r="C218" s="11"/>
      <c r="D218" s="14"/>
      <c r="E218" s="11"/>
      <c r="F218" s="16"/>
    </row>
    <row r="219" spans="1:6" x14ac:dyDescent="0.25">
      <c r="A219" s="12"/>
      <c r="C219" s="11"/>
      <c r="D219" s="14"/>
      <c r="E219" s="11"/>
      <c r="F219" s="16"/>
    </row>
    <row r="220" spans="1:6" x14ac:dyDescent="0.25">
      <c r="A220" s="12"/>
      <c r="C220" s="11"/>
      <c r="D220" s="14"/>
      <c r="E220" s="11"/>
      <c r="F220" s="16"/>
    </row>
    <row r="221" spans="1:6" x14ac:dyDescent="0.25">
      <c r="A221" s="12"/>
      <c r="C221" s="11"/>
      <c r="D221" s="14"/>
      <c r="E221" s="11"/>
      <c r="F221" s="16"/>
    </row>
    <row r="222" spans="1:6" x14ac:dyDescent="0.25">
      <c r="A222" s="12"/>
      <c r="C222" s="11"/>
      <c r="D222" s="14"/>
      <c r="E222" s="11"/>
      <c r="F222" s="16"/>
    </row>
    <row r="223" spans="1:6" x14ac:dyDescent="0.25">
      <c r="A223" s="12"/>
      <c r="C223" s="11"/>
      <c r="D223" s="14"/>
      <c r="E223" s="11"/>
      <c r="F223" s="16"/>
    </row>
    <row r="224" spans="1:6" x14ac:dyDescent="0.25">
      <c r="A224" s="12"/>
      <c r="C224" s="11"/>
      <c r="D224" s="14"/>
      <c r="E224" s="11"/>
      <c r="F224" s="16"/>
    </row>
    <row r="225" spans="1:6" x14ac:dyDescent="0.25">
      <c r="A225" s="12"/>
      <c r="C225" s="11"/>
      <c r="D225" s="14"/>
      <c r="E225" s="11"/>
      <c r="F225" s="16"/>
    </row>
    <row r="226" spans="1:6" x14ac:dyDescent="0.25">
      <c r="A226" s="12"/>
      <c r="C226" s="11"/>
      <c r="D226" s="14"/>
      <c r="E226" s="11"/>
      <c r="F226" s="16"/>
    </row>
    <row r="227" spans="1:6" x14ac:dyDescent="0.25">
      <c r="A227" s="12"/>
      <c r="C227" s="11"/>
      <c r="D227" s="14"/>
      <c r="E227" s="11"/>
      <c r="F227" s="16"/>
    </row>
    <row r="228" spans="1:6" x14ac:dyDescent="0.25">
      <c r="A228" s="12"/>
      <c r="C228" s="11"/>
      <c r="D228" s="14"/>
      <c r="E228" s="11"/>
      <c r="F228" s="16"/>
    </row>
    <row r="229" spans="1:6" x14ac:dyDescent="0.25">
      <c r="A229" s="12"/>
      <c r="C229" s="11"/>
      <c r="D229" s="14"/>
      <c r="E229" s="11"/>
      <c r="F229" s="16"/>
    </row>
    <row r="230" spans="1:6" x14ac:dyDescent="0.25">
      <c r="A230" s="12"/>
      <c r="C230" s="11"/>
      <c r="D230" s="14"/>
      <c r="E230" s="11"/>
      <c r="F230" s="16"/>
    </row>
    <row r="231" spans="1:6" x14ac:dyDescent="0.25">
      <c r="A231" s="12"/>
      <c r="C231" s="11"/>
      <c r="D231" s="14"/>
      <c r="E231" s="11"/>
      <c r="F231" s="16"/>
    </row>
    <row r="232" spans="1:6" x14ac:dyDescent="0.25">
      <c r="A232" s="12"/>
      <c r="C232" s="11"/>
      <c r="D232" s="14"/>
      <c r="E232" s="11"/>
      <c r="F232" s="16"/>
    </row>
    <row r="233" spans="1:6" x14ac:dyDescent="0.25">
      <c r="A233" s="12"/>
      <c r="C233" s="11"/>
      <c r="D233" s="14"/>
      <c r="E233" s="11"/>
      <c r="F233" s="16"/>
    </row>
    <row r="234" spans="1:6" x14ac:dyDescent="0.25">
      <c r="A234" s="12"/>
      <c r="C234" s="11"/>
      <c r="D234" s="14"/>
      <c r="E234" s="11"/>
      <c r="F234" s="16"/>
    </row>
    <row r="235" spans="1:6" x14ac:dyDescent="0.25">
      <c r="A235" s="12"/>
      <c r="C235" s="11"/>
      <c r="D235" s="14"/>
      <c r="E235" s="11"/>
      <c r="F235" s="16"/>
    </row>
    <row r="236" spans="1:6" x14ac:dyDescent="0.25">
      <c r="A236" s="12"/>
      <c r="C236" s="11"/>
      <c r="D236" s="14"/>
      <c r="E236" s="11"/>
      <c r="F236" s="16"/>
    </row>
    <row r="237" spans="1:6" x14ac:dyDescent="0.25">
      <c r="A237" s="12"/>
      <c r="C237" s="11"/>
      <c r="D237" s="14"/>
      <c r="E237" s="11"/>
      <c r="F237" s="16"/>
    </row>
    <row r="238" spans="1:6" x14ac:dyDescent="0.25">
      <c r="A238" s="12"/>
      <c r="C238" s="11"/>
      <c r="D238" s="14"/>
      <c r="E238" s="11"/>
      <c r="F238" s="16"/>
    </row>
    <row r="239" spans="1:6" x14ac:dyDescent="0.25">
      <c r="A239" s="12"/>
      <c r="C239" s="11"/>
      <c r="D239" s="14"/>
      <c r="E239" s="11"/>
      <c r="F239" s="16"/>
    </row>
    <row r="240" spans="1:6" x14ac:dyDescent="0.25">
      <c r="A240" s="12"/>
      <c r="C240" s="11"/>
      <c r="D240" s="14"/>
      <c r="E240" s="11"/>
      <c r="F240" s="16"/>
    </row>
    <row r="241" spans="1:6" x14ac:dyDescent="0.25">
      <c r="A241" s="12"/>
      <c r="C241" s="11"/>
      <c r="D241" s="14"/>
      <c r="E241" s="11"/>
      <c r="F241" s="16"/>
    </row>
    <row r="242" spans="1:6" x14ac:dyDescent="0.25">
      <c r="A242" s="12"/>
      <c r="C242" s="11"/>
      <c r="D242" s="14"/>
      <c r="E242" s="11"/>
      <c r="F242" s="16"/>
    </row>
    <row r="243" spans="1:6" x14ac:dyDescent="0.25">
      <c r="A243" s="12"/>
      <c r="C243" s="11"/>
      <c r="D243" s="14"/>
      <c r="E243" s="11"/>
      <c r="F243" s="16"/>
    </row>
    <row r="244" spans="1:6" x14ac:dyDescent="0.25">
      <c r="A244" s="12"/>
      <c r="C244" s="11"/>
      <c r="D244" s="14"/>
      <c r="E244" s="11"/>
      <c r="F244" s="16"/>
    </row>
    <row r="245" spans="1:6" x14ac:dyDescent="0.25">
      <c r="A245" s="12"/>
      <c r="C245" s="11"/>
      <c r="D245" s="14"/>
      <c r="E245" s="11"/>
      <c r="F245" s="16"/>
    </row>
    <row r="246" spans="1:6" x14ac:dyDescent="0.25">
      <c r="A246" s="12"/>
      <c r="C246" s="11"/>
      <c r="D246" s="14"/>
      <c r="E246" s="11"/>
      <c r="F246" s="16"/>
    </row>
    <row r="247" spans="1:6" x14ac:dyDescent="0.25">
      <c r="A247" s="12"/>
      <c r="C247" s="11"/>
      <c r="D247" s="14"/>
      <c r="E247" s="11"/>
      <c r="F247" s="16"/>
    </row>
    <row r="248" spans="1:6" x14ac:dyDescent="0.25">
      <c r="A248" s="12"/>
      <c r="C248" s="11"/>
      <c r="D248" s="14"/>
      <c r="E248" s="11"/>
      <c r="F248" s="16"/>
    </row>
    <row r="249" spans="1:6" x14ac:dyDescent="0.25">
      <c r="A249" s="12"/>
      <c r="C249" s="11"/>
      <c r="D249" s="14"/>
      <c r="E249" s="11"/>
      <c r="F249" s="16"/>
    </row>
    <row r="250" spans="1:6" x14ac:dyDescent="0.25">
      <c r="A250" s="12"/>
      <c r="C250" s="11"/>
      <c r="D250" s="14"/>
      <c r="E250" s="11"/>
      <c r="F250" s="16"/>
    </row>
    <row r="251" spans="1:6" x14ac:dyDescent="0.25">
      <c r="A251" s="12"/>
      <c r="C251" s="11"/>
      <c r="D251" s="14"/>
      <c r="E251" s="11"/>
      <c r="F251" s="16"/>
    </row>
    <row r="252" spans="1:6" x14ac:dyDescent="0.25">
      <c r="A252" s="12"/>
      <c r="C252" s="11"/>
      <c r="D252" s="14"/>
      <c r="E252" s="11"/>
      <c r="F252" s="16"/>
    </row>
    <row r="253" spans="1:6" x14ac:dyDescent="0.25">
      <c r="A253" s="12"/>
      <c r="C253" s="11"/>
      <c r="D253" s="14"/>
      <c r="E253" s="11"/>
      <c r="F253" s="16"/>
    </row>
    <row r="254" spans="1:6" x14ac:dyDescent="0.25">
      <c r="A254" s="12"/>
      <c r="C254" s="11"/>
      <c r="D254" s="14"/>
      <c r="E254" s="11"/>
      <c r="F254" s="16"/>
    </row>
    <row r="255" spans="1:6" x14ac:dyDescent="0.25">
      <c r="A255" s="12"/>
      <c r="C255" s="11"/>
      <c r="D255" s="14"/>
      <c r="E255" s="11"/>
      <c r="F255" s="16"/>
    </row>
    <row r="256" spans="1:6" x14ac:dyDescent="0.25">
      <c r="A256" s="12"/>
      <c r="C256" s="11"/>
      <c r="D256" s="14"/>
      <c r="E256" s="11"/>
      <c r="F256" s="16"/>
    </row>
    <row r="257" spans="1:6" x14ac:dyDescent="0.25">
      <c r="A257" s="12"/>
      <c r="C257" s="11"/>
      <c r="D257" s="14"/>
      <c r="E257" s="11"/>
      <c r="F257" s="16"/>
    </row>
    <row r="258" spans="1:6" x14ac:dyDescent="0.25">
      <c r="A258" s="12"/>
      <c r="C258" s="11"/>
      <c r="D258" s="14"/>
      <c r="E258" s="11"/>
      <c r="F258" s="16"/>
    </row>
    <row r="259" spans="1:6" x14ac:dyDescent="0.25">
      <c r="A259" s="12"/>
      <c r="C259" s="11"/>
      <c r="D259" s="14"/>
      <c r="E259" s="11"/>
      <c r="F259" s="16"/>
    </row>
    <row r="260" spans="1:6" x14ac:dyDescent="0.25">
      <c r="A260" s="12"/>
      <c r="C260" s="11"/>
      <c r="D260" s="14"/>
      <c r="E260" s="11"/>
      <c r="F260" s="16"/>
    </row>
    <row r="261" spans="1:6" x14ac:dyDescent="0.25">
      <c r="A261" s="12"/>
      <c r="C261" s="11"/>
      <c r="D261" s="14"/>
      <c r="E261" s="11"/>
      <c r="F261" s="16"/>
    </row>
    <row r="262" spans="1:6" x14ac:dyDescent="0.25">
      <c r="A262" s="12"/>
      <c r="C262" s="11"/>
      <c r="D262" s="14"/>
      <c r="E262" s="11"/>
      <c r="F262" s="16"/>
    </row>
    <row r="263" spans="1:6" x14ac:dyDescent="0.25">
      <c r="A263" s="12"/>
      <c r="C263" s="11"/>
      <c r="D263" s="14"/>
      <c r="E263" s="11"/>
      <c r="F263" s="16"/>
    </row>
    <row r="264" spans="1:6" x14ac:dyDescent="0.25">
      <c r="A264" s="12"/>
      <c r="C264" s="11"/>
      <c r="D264" s="14"/>
      <c r="E264" s="11"/>
      <c r="F264" s="16"/>
    </row>
    <row r="265" spans="1:6" x14ac:dyDescent="0.25">
      <c r="A265" s="12"/>
      <c r="C265" s="11"/>
      <c r="D265" s="14"/>
      <c r="E265" s="11"/>
      <c r="F265" s="16"/>
    </row>
    <row r="266" spans="1:6" x14ac:dyDescent="0.25">
      <c r="A266" s="12"/>
      <c r="C266" s="11"/>
      <c r="D266" s="14"/>
      <c r="E266" s="11"/>
      <c r="F266" s="16"/>
    </row>
    <row r="267" spans="1:6" x14ac:dyDescent="0.25">
      <c r="A267" s="12"/>
      <c r="C267" s="11"/>
      <c r="D267" s="14"/>
      <c r="E267" s="11"/>
      <c r="F267" s="16"/>
    </row>
    <row r="268" spans="1:6" x14ac:dyDescent="0.25">
      <c r="A268" s="12"/>
      <c r="C268" s="11"/>
      <c r="D268" s="14"/>
      <c r="E268" s="11"/>
      <c r="F268" s="16"/>
    </row>
    <row r="269" spans="1:6" x14ac:dyDescent="0.25">
      <c r="A269" s="12"/>
      <c r="C269" s="11"/>
      <c r="D269" s="14"/>
      <c r="E269" s="11"/>
      <c r="F269" s="16"/>
    </row>
    <row r="270" spans="1:6" x14ac:dyDescent="0.25">
      <c r="A270" s="12"/>
      <c r="C270" s="11"/>
      <c r="D270" s="14"/>
      <c r="E270" s="11"/>
      <c r="F270" s="16"/>
    </row>
    <row r="271" spans="1:6" x14ac:dyDescent="0.25">
      <c r="A271" s="12"/>
      <c r="C271" s="11"/>
      <c r="D271" s="14"/>
      <c r="E271" s="11"/>
      <c r="F271" s="16"/>
    </row>
    <row r="272" spans="1:6" x14ac:dyDescent="0.25">
      <c r="A272" s="12"/>
      <c r="C272" s="11"/>
      <c r="D272" s="14"/>
      <c r="E272" s="11"/>
      <c r="F272" s="16"/>
    </row>
    <row r="273" spans="1:6" x14ac:dyDescent="0.25">
      <c r="A273" s="12"/>
      <c r="C273" s="11"/>
      <c r="D273" s="14"/>
      <c r="E273" s="11"/>
      <c r="F273" s="16"/>
    </row>
    <row r="274" spans="1:6" x14ac:dyDescent="0.25">
      <c r="A274" s="12"/>
      <c r="C274" s="11"/>
      <c r="D274" s="14"/>
      <c r="E274" s="11"/>
      <c r="F274" s="16"/>
    </row>
    <row r="275" spans="1:6" x14ac:dyDescent="0.25">
      <c r="A275" s="12"/>
      <c r="C275" s="11"/>
      <c r="D275" s="14"/>
      <c r="E275" s="11"/>
      <c r="F275" s="16"/>
    </row>
    <row r="276" spans="1:6" x14ac:dyDescent="0.25">
      <c r="A276" s="12"/>
      <c r="C276" s="11"/>
      <c r="D276" s="14"/>
      <c r="E276" s="11"/>
      <c r="F276" s="16"/>
    </row>
    <row r="277" spans="1:6" x14ac:dyDescent="0.25">
      <c r="A277" s="12"/>
      <c r="C277" s="11"/>
      <c r="D277" s="14"/>
      <c r="E277" s="11"/>
      <c r="F277" s="16"/>
    </row>
    <row r="278" spans="1:6" x14ac:dyDescent="0.25">
      <c r="A278" s="12"/>
      <c r="C278" s="11"/>
      <c r="D278" s="14"/>
      <c r="E278" s="11"/>
      <c r="F278" s="16"/>
    </row>
    <row r="279" spans="1:6" x14ac:dyDescent="0.25">
      <c r="A279" s="12"/>
      <c r="C279" s="11"/>
      <c r="D279" s="14"/>
      <c r="E279" s="11"/>
      <c r="F279" s="16"/>
    </row>
    <row r="280" spans="1:6" x14ac:dyDescent="0.25">
      <c r="A280" s="12"/>
      <c r="C280" s="11"/>
      <c r="D280" s="14"/>
      <c r="E280" s="11"/>
      <c r="F280" s="16"/>
    </row>
    <row r="281" spans="1:6" x14ac:dyDescent="0.25">
      <c r="A281" s="12"/>
      <c r="C281" s="11"/>
      <c r="D281" s="14"/>
      <c r="E281" s="11"/>
      <c r="F281" s="16"/>
    </row>
    <row r="282" spans="1:6" x14ac:dyDescent="0.25">
      <c r="A282" s="12"/>
      <c r="C282" s="11"/>
      <c r="D282" s="14"/>
      <c r="E282" s="11"/>
      <c r="F282" s="16"/>
    </row>
    <row r="283" spans="1:6" x14ac:dyDescent="0.25">
      <c r="A283" s="12"/>
      <c r="C283" s="11"/>
      <c r="D283" s="14"/>
      <c r="E283" s="11"/>
      <c r="F283" s="16"/>
    </row>
    <row r="284" spans="1:6" x14ac:dyDescent="0.25">
      <c r="A284" s="12"/>
      <c r="C284" s="11"/>
      <c r="D284" s="14"/>
      <c r="E284" s="11"/>
      <c r="F284" s="16"/>
    </row>
    <row r="285" spans="1:6" x14ac:dyDescent="0.25">
      <c r="A285" s="12"/>
      <c r="C285" s="11"/>
      <c r="D285" s="14"/>
      <c r="E285" s="11"/>
      <c r="F285" s="16"/>
    </row>
    <row r="286" spans="1:6" x14ac:dyDescent="0.25">
      <c r="A286" s="12"/>
      <c r="C286" s="11"/>
      <c r="D286" s="14"/>
      <c r="E286" s="11"/>
      <c r="F286" s="16"/>
    </row>
    <row r="287" spans="1:6" x14ac:dyDescent="0.25">
      <c r="A287" s="12"/>
      <c r="C287" s="11"/>
      <c r="D287" s="14"/>
      <c r="E287" s="11"/>
      <c r="F287" s="16"/>
    </row>
    <row r="288" spans="1:6" x14ac:dyDescent="0.25">
      <c r="A288" s="12"/>
      <c r="C288" s="11"/>
      <c r="D288" s="14"/>
      <c r="E288" s="11"/>
      <c r="F288" s="16"/>
    </row>
    <row r="289" spans="1:6" x14ac:dyDescent="0.25">
      <c r="A289" s="12"/>
      <c r="C289" s="11"/>
      <c r="D289" s="14"/>
      <c r="E289" s="11"/>
      <c r="F289" s="16"/>
    </row>
    <row r="290" spans="1:6" x14ac:dyDescent="0.25">
      <c r="A290" s="12"/>
      <c r="C290" s="11"/>
      <c r="D290" s="14"/>
      <c r="E290" s="11"/>
      <c r="F290" s="16"/>
    </row>
    <row r="291" spans="1:6" x14ac:dyDescent="0.25">
      <c r="A291" s="12"/>
      <c r="C291" s="11"/>
      <c r="D291" s="14"/>
      <c r="E291" s="11"/>
      <c r="F291" s="16"/>
    </row>
    <row r="292" spans="1:6" x14ac:dyDescent="0.25">
      <c r="A292" s="12"/>
      <c r="C292" s="11"/>
      <c r="D292" s="14"/>
      <c r="E292" s="11"/>
      <c r="F292" s="16"/>
    </row>
    <row r="293" spans="1:6" x14ac:dyDescent="0.25">
      <c r="A293" s="12"/>
      <c r="C293" s="11"/>
      <c r="D293" s="14"/>
      <c r="E293" s="11"/>
      <c r="F293" s="16"/>
    </row>
    <row r="294" spans="1:6" x14ac:dyDescent="0.25">
      <c r="A294" s="12"/>
      <c r="C294" s="11"/>
      <c r="D294" s="14"/>
      <c r="E294" s="11"/>
      <c r="F294" s="16"/>
    </row>
    <row r="295" spans="1:6" x14ac:dyDescent="0.25">
      <c r="A295" s="12"/>
      <c r="C295" s="11"/>
      <c r="D295" s="14"/>
      <c r="E295" s="11"/>
      <c r="F295" s="16"/>
    </row>
    <row r="296" spans="1:6" x14ac:dyDescent="0.25">
      <c r="A296" s="12"/>
      <c r="C296" s="11"/>
      <c r="D296" s="14"/>
      <c r="E296" s="11"/>
      <c r="F296" s="16"/>
    </row>
    <row r="297" spans="1:6" x14ac:dyDescent="0.25">
      <c r="A297" s="12"/>
      <c r="C297" s="11"/>
      <c r="D297" s="14"/>
      <c r="E297" s="11"/>
      <c r="F297" s="16"/>
    </row>
    <row r="298" spans="1:6" x14ac:dyDescent="0.25">
      <c r="A298" s="12"/>
      <c r="C298" s="11"/>
      <c r="D298" s="14"/>
      <c r="E298" s="11"/>
      <c r="F298" s="16"/>
    </row>
    <row r="299" spans="1:6" x14ac:dyDescent="0.25">
      <c r="A299" s="12"/>
      <c r="C299" s="11"/>
      <c r="D299" s="14"/>
      <c r="E299" s="11"/>
      <c r="F299" s="16"/>
    </row>
    <row r="300" spans="1:6" x14ac:dyDescent="0.25">
      <c r="A300" s="12"/>
      <c r="C300" s="11"/>
      <c r="D300" s="14"/>
      <c r="E300" s="11"/>
      <c r="F300" s="16"/>
    </row>
    <row r="301" spans="1:6" x14ac:dyDescent="0.25">
      <c r="A301" s="12"/>
      <c r="C301" s="11"/>
      <c r="D301" s="14"/>
      <c r="E301" s="11"/>
      <c r="F301" s="16"/>
    </row>
    <row r="302" spans="1:6" x14ac:dyDescent="0.25">
      <c r="A302" s="12"/>
      <c r="C302" s="11"/>
      <c r="D302" s="14"/>
      <c r="E302" s="11"/>
      <c r="F302" s="16"/>
    </row>
    <row r="303" spans="1:6" x14ac:dyDescent="0.25">
      <c r="A303" s="12"/>
      <c r="C303" s="11"/>
      <c r="D303" s="14"/>
      <c r="E303" s="11"/>
      <c r="F303" s="16"/>
    </row>
    <row r="304" spans="1:6" x14ac:dyDescent="0.25">
      <c r="A304" s="12"/>
      <c r="C304" s="11"/>
      <c r="D304" s="14"/>
      <c r="E304" s="11"/>
      <c r="F304" s="16"/>
    </row>
    <row r="305" spans="1:6" x14ac:dyDescent="0.25">
      <c r="A305" s="12"/>
      <c r="C305" s="11"/>
      <c r="D305" s="14"/>
      <c r="E305" s="11"/>
      <c r="F305" s="16"/>
    </row>
    <row r="306" spans="1:6" x14ac:dyDescent="0.25">
      <c r="A306" s="12"/>
      <c r="C306" s="11"/>
      <c r="D306" s="14"/>
      <c r="E306" s="11"/>
      <c r="F306" s="16"/>
    </row>
    <row r="307" spans="1:6" x14ac:dyDescent="0.25">
      <c r="A307" s="12"/>
      <c r="C307" s="11"/>
      <c r="D307" s="14"/>
      <c r="E307" s="11"/>
      <c r="F307" s="16"/>
    </row>
    <row r="308" spans="1:6" x14ac:dyDescent="0.25">
      <c r="A308" s="12"/>
      <c r="C308" s="11"/>
      <c r="D308" s="14"/>
      <c r="E308" s="11"/>
      <c r="F308" s="16"/>
    </row>
    <row r="309" spans="1:6" x14ac:dyDescent="0.25">
      <c r="A309" s="12"/>
      <c r="C309" s="11"/>
      <c r="D309" s="14"/>
      <c r="E309" s="11"/>
      <c r="F309" s="16"/>
    </row>
    <row r="310" spans="1:6" x14ac:dyDescent="0.25">
      <c r="A310" s="12"/>
      <c r="C310" s="11"/>
      <c r="D310" s="14"/>
      <c r="E310" s="11"/>
      <c r="F310" s="16"/>
    </row>
    <row r="311" spans="1:6" x14ac:dyDescent="0.25">
      <c r="A311" s="12"/>
      <c r="C311" s="11"/>
      <c r="D311" s="14"/>
      <c r="E311" s="11"/>
      <c r="F311" s="16"/>
    </row>
    <row r="312" spans="1:6" x14ac:dyDescent="0.25">
      <c r="A312" s="12"/>
      <c r="C312" s="11"/>
      <c r="D312" s="14"/>
      <c r="E312" s="11"/>
      <c r="F312" s="16"/>
    </row>
    <row r="313" spans="1:6" x14ac:dyDescent="0.25">
      <c r="A313" s="12"/>
      <c r="C313" s="11"/>
      <c r="D313" s="14"/>
      <c r="E313" s="11"/>
      <c r="F313" s="16"/>
    </row>
    <row r="314" spans="1:6" x14ac:dyDescent="0.25">
      <c r="A314" s="12"/>
      <c r="C314" s="11"/>
      <c r="D314" s="14"/>
      <c r="E314" s="11"/>
      <c r="F314" s="16"/>
    </row>
    <row r="315" spans="1:6" x14ac:dyDescent="0.25">
      <c r="A315" s="12"/>
      <c r="C315" s="11"/>
      <c r="D315" s="14"/>
      <c r="E315" s="11"/>
      <c r="F315" s="16"/>
    </row>
    <row r="316" spans="1:6" x14ac:dyDescent="0.25">
      <c r="A316" s="12"/>
      <c r="C316" s="11"/>
      <c r="D316" s="14"/>
      <c r="E316" s="11"/>
      <c r="F316" s="16"/>
    </row>
    <row r="317" spans="1:6" x14ac:dyDescent="0.25">
      <c r="A317" s="12"/>
      <c r="C317" s="11"/>
      <c r="D317" s="14"/>
      <c r="E317" s="11"/>
      <c r="F317" s="16"/>
    </row>
    <row r="318" spans="1:6" x14ac:dyDescent="0.25">
      <c r="A318" s="12"/>
      <c r="C318" s="11"/>
      <c r="D318" s="14"/>
      <c r="E318" s="11"/>
      <c r="F318" s="16"/>
    </row>
    <row r="319" spans="1:6" x14ac:dyDescent="0.25">
      <c r="A319" s="12"/>
      <c r="C319" s="11"/>
      <c r="D319" s="14"/>
      <c r="E319" s="11"/>
      <c r="F319" s="16"/>
    </row>
    <row r="320" spans="1:6" x14ac:dyDescent="0.25">
      <c r="A320" s="12"/>
      <c r="C320" s="11"/>
      <c r="D320" s="14"/>
      <c r="E320" s="11"/>
      <c r="F320" s="16"/>
    </row>
    <row r="321" spans="1:6" x14ac:dyDescent="0.25">
      <c r="A321" s="12"/>
      <c r="C321" s="11"/>
      <c r="D321" s="14"/>
      <c r="E321" s="11"/>
      <c r="F321" s="16"/>
    </row>
    <row r="322" spans="1:6" x14ac:dyDescent="0.25">
      <c r="A322" s="12"/>
      <c r="C322" s="11"/>
      <c r="D322" s="14"/>
      <c r="E322" s="11"/>
      <c r="F322" s="16"/>
    </row>
    <row r="323" spans="1:6" x14ac:dyDescent="0.25">
      <c r="A323" s="12"/>
      <c r="C323" s="11"/>
      <c r="D323" s="14"/>
      <c r="E323" s="11"/>
      <c r="F323" s="16"/>
    </row>
    <row r="324" spans="1:6" x14ac:dyDescent="0.25">
      <c r="A324" s="12"/>
      <c r="C324" s="11"/>
      <c r="D324" s="14"/>
      <c r="E324" s="11"/>
      <c r="F324" s="16"/>
    </row>
    <row r="325" spans="1:6" x14ac:dyDescent="0.25">
      <c r="A325" s="12"/>
      <c r="C325" s="11"/>
      <c r="D325" s="14"/>
      <c r="E325" s="11"/>
      <c r="F325" s="16"/>
    </row>
    <row r="326" spans="1:6" x14ac:dyDescent="0.25">
      <c r="A326" s="12"/>
      <c r="C326" s="11"/>
      <c r="D326" s="14"/>
      <c r="E326" s="11"/>
      <c r="F326" s="16"/>
    </row>
    <row r="327" spans="1:6" x14ac:dyDescent="0.25">
      <c r="A327" s="12"/>
      <c r="C327" s="11"/>
      <c r="D327" s="14"/>
      <c r="E327" s="11"/>
      <c r="F327" s="16"/>
    </row>
    <row r="328" spans="1:6" x14ac:dyDescent="0.25">
      <c r="A328" s="12"/>
      <c r="C328" s="11"/>
      <c r="D328" s="14"/>
      <c r="E328" s="11"/>
      <c r="F328" s="16"/>
    </row>
    <row r="329" spans="1:6" x14ac:dyDescent="0.25">
      <c r="A329" s="12"/>
      <c r="C329" s="11"/>
      <c r="D329" s="14"/>
      <c r="E329" s="11"/>
      <c r="F329" s="16"/>
    </row>
    <row r="330" spans="1:6" x14ac:dyDescent="0.25">
      <c r="A330" s="12"/>
      <c r="C330" s="11"/>
      <c r="D330" s="14"/>
      <c r="E330" s="11"/>
      <c r="F330" s="16"/>
    </row>
    <row r="331" spans="1:6" x14ac:dyDescent="0.25">
      <c r="A331" s="12"/>
      <c r="C331" s="11"/>
      <c r="D331" s="14"/>
      <c r="E331" s="11"/>
      <c r="F331" s="16"/>
    </row>
    <row r="332" spans="1:6" x14ac:dyDescent="0.25">
      <c r="A332" s="12"/>
      <c r="C332" s="11"/>
      <c r="D332" s="14"/>
      <c r="E332" s="11"/>
      <c r="F332" s="16"/>
    </row>
    <row r="333" spans="1:6" x14ac:dyDescent="0.25">
      <c r="A333" s="12"/>
      <c r="C333" s="11"/>
      <c r="D333" s="14"/>
      <c r="E333" s="11"/>
      <c r="F333" s="16"/>
    </row>
    <row r="334" spans="1:6" x14ac:dyDescent="0.25">
      <c r="A334" s="12"/>
      <c r="C334" s="11"/>
      <c r="D334" s="14"/>
      <c r="E334" s="11"/>
      <c r="F334" s="16"/>
    </row>
    <row r="335" spans="1:6" x14ac:dyDescent="0.25">
      <c r="A335" s="12"/>
      <c r="C335" s="11"/>
      <c r="D335" s="14"/>
      <c r="E335" s="11"/>
      <c r="F335" s="16"/>
    </row>
    <row r="336" spans="1:6" x14ac:dyDescent="0.25">
      <c r="A336" s="12"/>
      <c r="C336" s="11"/>
      <c r="D336" s="14"/>
      <c r="E336" s="11"/>
      <c r="F336" s="16"/>
    </row>
    <row r="337" spans="1:6" x14ac:dyDescent="0.25">
      <c r="A337" s="12"/>
      <c r="C337" s="11"/>
      <c r="D337" s="14"/>
      <c r="E337" s="11"/>
      <c r="F337" s="16"/>
    </row>
    <row r="338" spans="1:6" x14ac:dyDescent="0.25">
      <c r="A338" s="12"/>
      <c r="C338" s="11"/>
      <c r="D338" s="14"/>
      <c r="E338" s="11"/>
      <c r="F338" s="16"/>
    </row>
    <row r="339" spans="1:6" x14ac:dyDescent="0.25">
      <c r="A339" s="12"/>
      <c r="C339" s="11"/>
      <c r="D339" s="14"/>
      <c r="E339" s="11"/>
      <c r="F339" s="16"/>
    </row>
    <row r="340" spans="1:6" x14ac:dyDescent="0.25">
      <c r="A340" s="12"/>
      <c r="C340" s="11"/>
      <c r="D340" s="14"/>
      <c r="E340" s="11"/>
      <c r="F340" s="16"/>
    </row>
    <row r="341" spans="1:6" x14ac:dyDescent="0.25">
      <c r="A341" s="12"/>
      <c r="C341" s="11"/>
      <c r="D341" s="14"/>
      <c r="E341" s="11"/>
      <c r="F341" s="16"/>
    </row>
    <row r="342" spans="1:6" x14ac:dyDescent="0.25">
      <c r="A342" s="12"/>
      <c r="C342" s="11"/>
      <c r="D342" s="14"/>
      <c r="E342" s="11"/>
      <c r="F342" s="16"/>
    </row>
    <row r="343" spans="1:6" x14ac:dyDescent="0.25">
      <c r="A343" s="12"/>
      <c r="C343" s="11"/>
      <c r="D343" s="14"/>
      <c r="E343" s="11"/>
      <c r="F343" s="16"/>
    </row>
    <row r="344" spans="1:6" x14ac:dyDescent="0.25">
      <c r="A344" s="12"/>
      <c r="C344" s="11"/>
      <c r="D344" s="14"/>
      <c r="E344" s="11"/>
      <c r="F344" s="16"/>
    </row>
    <row r="345" spans="1:6" x14ac:dyDescent="0.25">
      <c r="A345" s="12"/>
      <c r="C345" s="11"/>
      <c r="D345" s="14"/>
      <c r="E345" s="11"/>
      <c r="F345" s="16"/>
    </row>
    <row r="346" spans="1:6" x14ac:dyDescent="0.25">
      <c r="A346" s="12"/>
      <c r="C346" s="11"/>
      <c r="D346" s="14"/>
      <c r="E346" s="11"/>
      <c r="F346" s="16"/>
    </row>
    <row r="347" spans="1:6" x14ac:dyDescent="0.25">
      <c r="A347" s="12"/>
      <c r="C347" s="11"/>
      <c r="D347" s="14"/>
      <c r="E347" s="11"/>
      <c r="F347" s="16"/>
    </row>
    <row r="348" spans="1:6" x14ac:dyDescent="0.25">
      <c r="A348" s="12"/>
      <c r="C348" s="11"/>
      <c r="D348" s="14"/>
      <c r="E348" s="11"/>
      <c r="F348" s="16"/>
    </row>
    <row r="349" spans="1:6" x14ac:dyDescent="0.25">
      <c r="A349" s="12"/>
      <c r="C349" s="11"/>
      <c r="D349" s="14"/>
      <c r="E349" s="11"/>
      <c r="F349" s="16"/>
    </row>
    <row r="350" spans="1:6" x14ac:dyDescent="0.25">
      <c r="A350" s="12"/>
      <c r="C350" s="11"/>
      <c r="D350" s="14"/>
      <c r="E350" s="11"/>
      <c r="F350" s="16"/>
    </row>
    <row r="351" spans="1:6" x14ac:dyDescent="0.25">
      <c r="A351" s="12"/>
      <c r="C351" s="11"/>
      <c r="D351" s="14"/>
      <c r="E351" s="11"/>
      <c r="F351" s="16"/>
    </row>
    <row r="352" spans="1:6" x14ac:dyDescent="0.25">
      <c r="A352" s="12"/>
      <c r="C352" s="11"/>
      <c r="D352" s="14"/>
      <c r="E352" s="11"/>
      <c r="F352" s="16"/>
    </row>
    <row r="353" spans="1:6" x14ac:dyDescent="0.25">
      <c r="A353" s="12"/>
      <c r="C353" s="11"/>
      <c r="D353" s="14"/>
      <c r="E353" s="11"/>
      <c r="F353" s="16"/>
    </row>
    <row r="354" spans="1:6" x14ac:dyDescent="0.25">
      <c r="A354" s="12"/>
      <c r="C354" s="11"/>
      <c r="D354" s="14"/>
      <c r="E354" s="11"/>
      <c r="F354" s="16"/>
    </row>
    <row r="355" spans="1:6" x14ac:dyDescent="0.25">
      <c r="A355" s="12"/>
      <c r="C355" s="11"/>
      <c r="D355" s="14"/>
      <c r="E355" s="11"/>
      <c r="F355" s="16"/>
    </row>
    <row r="356" spans="1:6" x14ac:dyDescent="0.25">
      <c r="A356" s="12"/>
      <c r="C356" s="11"/>
      <c r="D356" s="14"/>
      <c r="E356" s="11"/>
      <c r="F356" s="16"/>
    </row>
    <row r="357" spans="1:6" x14ac:dyDescent="0.25">
      <c r="A357" s="12"/>
      <c r="C357" s="11"/>
      <c r="D357" s="14"/>
      <c r="E357" s="11"/>
      <c r="F357" s="16"/>
    </row>
    <row r="358" spans="1:6" x14ac:dyDescent="0.25">
      <c r="A358" s="12"/>
      <c r="C358" s="11"/>
      <c r="D358" s="14"/>
      <c r="E358" s="11"/>
      <c r="F358" s="16"/>
    </row>
    <row r="359" spans="1:6" x14ac:dyDescent="0.25">
      <c r="A359" s="12"/>
      <c r="C359" s="11"/>
      <c r="D359" s="14"/>
      <c r="E359" s="11"/>
      <c r="F359" s="16"/>
    </row>
    <row r="360" spans="1:6" x14ac:dyDescent="0.25">
      <c r="A360" s="12"/>
      <c r="C360" s="11"/>
      <c r="D360" s="14"/>
      <c r="E360" s="11"/>
      <c r="F360" s="16"/>
    </row>
    <row r="361" spans="1:6" x14ac:dyDescent="0.25">
      <c r="A361" s="12"/>
      <c r="C361" s="11"/>
      <c r="D361" s="14"/>
      <c r="E361" s="11"/>
      <c r="F361" s="16"/>
    </row>
    <row r="362" spans="1:6" x14ac:dyDescent="0.25">
      <c r="A362" s="12"/>
      <c r="C362" s="11"/>
      <c r="D362" s="14"/>
      <c r="E362" s="11"/>
      <c r="F362" s="16"/>
    </row>
    <row r="363" spans="1:6" x14ac:dyDescent="0.25">
      <c r="A363" s="12"/>
      <c r="C363" s="11"/>
      <c r="D363" s="14"/>
      <c r="E363" s="11"/>
      <c r="F363" s="16"/>
    </row>
    <row r="364" spans="1:6" x14ac:dyDescent="0.25">
      <c r="A364" s="12"/>
      <c r="C364" s="11"/>
      <c r="D364" s="14"/>
      <c r="E364" s="11"/>
      <c r="F364" s="16"/>
    </row>
    <row r="365" spans="1:6" x14ac:dyDescent="0.25">
      <c r="A365" s="12"/>
      <c r="C365" s="11"/>
      <c r="D365" s="14"/>
      <c r="E365" s="11"/>
      <c r="F365" s="16"/>
    </row>
    <row r="366" spans="1:6" x14ac:dyDescent="0.25">
      <c r="A366" s="12"/>
      <c r="C366" s="11"/>
      <c r="D366" s="14"/>
      <c r="E366" s="11"/>
      <c r="F366" s="16"/>
    </row>
    <row r="367" spans="1:6" x14ac:dyDescent="0.25">
      <c r="A367" s="12"/>
      <c r="C367" s="11"/>
      <c r="D367" s="14"/>
      <c r="E367" s="11"/>
      <c r="F367" s="16"/>
    </row>
    <row r="368" spans="1:6" x14ac:dyDescent="0.25">
      <c r="A368" s="12"/>
      <c r="C368" s="11"/>
      <c r="D368" s="14"/>
      <c r="E368" s="11"/>
      <c r="F368" s="16"/>
    </row>
    <row r="369" spans="1:6" x14ac:dyDescent="0.25">
      <c r="A369" s="12"/>
      <c r="C369" s="11"/>
      <c r="D369" s="14"/>
      <c r="E369" s="11"/>
      <c r="F369" s="16"/>
    </row>
    <row r="370" spans="1:6" x14ac:dyDescent="0.25">
      <c r="A370" s="12"/>
      <c r="C370" s="11"/>
      <c r="D370" s="14"/>
      <c r="E370" s="11"/>
      <c r="F370" s="16"/>
    </row>
    <row r="371" spans="1:6" x14ac:dyDescent="0.25">
      <c r="A371" s="12"/>
      <c r="C371" s="11"/>
      <c r="D371" s="14"/>
      <c r="E371" s="11"/>
      <c r="F371" s="16"/>
    </row>
    <row r="372" spans="1:6" x14ac:dyDescent="0.25">
      <c r="A372" s="12"/>
      <c r="C372" s="11"/>
      <c r="D372" s="14"/>
      <c r="E372" s="11"/>
      <c r="F372" s="16"/>
    </row>
    <row r="373" spans="1:6" x14ac:dyDescent="0.25">
      <c r="A373" s="12"/>
      <c r="C373" s="11"/>
      <c r="D373" s="14"/>
      <c r="E373" s="11"/>
      <c r="F373" s="16"/>
    </row>
    <row r="374" spans="1:6" x14ac:dyDescent="0.25">
      <c r="A374" s="12"/>
      <c r="C374" s="11"/>
      <c r="D374" s="14"/>
      <c r="E374" s="11"/>
      <c r="F374" s="16"/>
    </row>
    <row r="375" spans="1:6" x14ac:dyDescent="0.25">
      <c r="A375" s="12"/>
      <c r="C375" s="11"/>
      <c r="D375" s="14"/>
      <c r="E375" s="11"/>
      <c r="F375" s="16"/>
    </row>
    <row r="376" spans="1:6" x14ac:dyDescent="0.25">
      <c r="A376" s="12"/>
      <c r="C376" s="11"/>
      <c r="D376" s="14"/>
      <c r="E376" s="11"/>
      <c r="F376" s="16"/>
    </row>
    <row r="377" spans="1:6" x14ac:dyDescent="0.25">
      <c r="A377" s="12"/>
      <c r="C377" s="11"/>
      <c r="D377" s="14"/>
      <c r="E377" s="11"/>
      <c r="F377" s="16"/>
    </row>
    <row r="378" spans="1:6" x14ac:dyDescent="0.25">
      <c r="A378" s="12"/>
      <c r="C378" s="11"/>
      <c r="D378" s="14"/>
      <c r="E378" s="11"/>
      <c r="F378" s="16"/>
    </row>
    <row r="379" spans="1:6" x14ac:dyDescent="0.25">
      <c r="A379" s="12"/>
      <c r="C379" s="11"/>
      <c r="D379" s="14"/>
      <c r="E379" s="11"/>
      <c r="F379" s="16"/>
    </row>
    <row r="380" spans="1:6" x14ac:dyDescent="0.25">
      <c r="A380" s="12"/>
      <c r="C380" s="11"/>
      <c r="D380" s="14"/>
      <c r="E380" s="11"/>
      <c r="F380" s="16"/>
    </row>
    <row r="381" spans="1:6" x14ac:dyDescent="0.25">
      <c r="A381" s="12"/>
      <c r="C381" s="11"/>
      <c r="D381" s="14"/>
      <c r="E381" s="11"/>
      <c r="F381" s="16"/>
    </row>
    <row r="382" spans="1:6" x14ac:dyDescent="0.25">
      <c r="A382" s="12"/>
      <c r="C382" s="11"/>
      <c r="D382" s="14"/>
      <c r="E382" s="11"/>
      <c r="F382" s="16"/>
    </row>
    <row r="383" spans="1:6" x14ac:dyDescent="0.25">
      <c r="A383" s="12"/>
      <c r="C383" s="11"/>
      <c r="D383" s="14"/>
      <c r="E383" s="11"/>
      <c r="F383" s="16"/>
    </row>
    <row r="384" spans="1:6" x14ac:dyDescent="0.25">
      <c r="A384" s="12"/>
      <c r="C384" s="11"/>
      <c r="D384" s="14"/>
      <c r="E384" s="11"/>
      <c r="F384" s="16"/>
    </row>
    <row r="385" spans="1:6" x14ac:dyDescent="0.25">
      <c r="A385" s="12"/>
      <c r="C385" s="11"/>
      <c r="D385" s="14"/>
      <c r="E385" s="11"/>
      <c r="F385" s="16"/>
    </row>
    <row r="386" spans="1:6" x14ac:dyDescent="0.25">
      <c r="A386" s="12"/>
      <c r="C386" s="11"/>
      <c r="D386" s="14"/>
      <c r="E386" s="11"/>
      <c r="F386" s="16"/>
    </row>
    <row r="387" spans="1:6" x14ac:dyDescent="0.25">
      <c r="A387" s="12"/>
      <c r="C387" s="11"/>
      <c r="D387" s="14"/>
      <c r="E387" s="11"/>
      <c r="F387" s="16"/>
    </row>
    <row r="388" spans="1:6" x14ac:dyDescent="0.25">
      <c r="A388" s="12"/>
      <c r="C388" s="11"/>
      <c r="D388" s="14"/>
      <c r="E388" s="11"/>
      <c r="F388" s="16"/>
    </row>
    <row r="389" spans="1:6" x14ac:dyDescent="0.25">
      <c r="A389" s="12"/>
      <c r="C389" s="11"/>
      <c r="D389" s="14"/>
      <c r="E389" s="11"/>
      <c r="F389" s="16"/>
    </row>
    <row r="390" spans="1:6" x14ac:dyDescent="0.25">
      <c r="A390" s="12"/>
      <c r="C390" s="11"/>
      <c r="D390" s="14"/>
      <c r="E390" s="11"/>
      <c r="F390" s="16"/>
    </row>
    <row r="391" spans="1:6" x14ac:dyDescent="0.25">
      <c r="A391" s="12"/>
      <c r="C391" s="11"/>
      <c r="D391" s="14"/>
      <c r="E391" s="11"/>
      <c r="F391" s="16"/>
    </row>
    <row r="392" spans="1:6" x14ac:dyDescent="0.25">
      <c r="A392" s="12"/>
      <c r="C392" s="11"/>
      <c r="D392" s="14"/>
      <c r="E392" s="11"/>
      <c r="F392" s="16"/>
    </row>
    <row r="393" spans="1:6" x14ac:dyDescent="0.25">
      <c r="A393" s="12"/>
      <c r="C393" s="11"/>
      <c r="D393" s="14"/>
      <c r="E393" s="11"/>
      <c r="F393" s="16"/>
    </row>
    <row r="394" spans="1:6" x14ac:dyDescent="0.25">
      <c r="A394" s="12"/>
      <c r="C394" s="11"/>
      <c r="D394" s="14"/>
      <c r="E394" s="11"/>
      <c r="F394" s="16"/>
    </row>
    <row r="395" spans="1:6" x14ac:dyDescent="0.25">
      <c r="A395" s="12"/>
      <c r="C395" s="11"/>
      <c r="D395" s="14"/>
      <c r="E395" s="11"/>
      <c r="F395" s="16"/>
    </row>
    <row r="396" spans="1:6" x14ac:dyDescent="0.25">
      <c r="A396" s="12"/>
      <c r="C396" s="11"/>
      <c r="D396" s="14"/>
      <c r="E396" s="11"/>
      <c r="F396" s="16"/>
    </row>
    <row r="397" spans="1:6" x14ac:dyDescent="0.25">
      <c r="A397" s="12"/>
      <c r="C397" s="11"/>
      <c r="D397" s="14"/>
      <c r="E397" s="11"/>
      <c r="F397" s="16"/>
    </row>
    <row r="398" spans="1:6" x14ac:dyDescent="0.25">
      <c r="A398" s="12"/>
      <c r="C398" s="11"/>
      <c r="D398" s="14"/>
      <c r="E398" s="11"/>
      <c r="F398" s="16"/>
    </row>
    <row r="399" spans="1:6" x14ac:dyDescent="0.25">
      <c r="A399" s="12"/>
      <c r="C399" s="11"/>
      <c r="D399" s="14"/>
      <c r="E399" s="11"/>
      <c r="F399" s="16"/>
    </row>
    <row r="400" spans="1:6" x14ac:dyDescent="0.25">
      <c r="A400" s="12"/>
      <c r="C400" s="11"/>
      <c r="D400" s="14"/>
      <c r="E400" s="11"/>
      <c r="F400" s="16"/>
    </row>
    <row r="401" spans="1:6" x14ac:dyDescent="0.25">
      <c r="A401" s="12"/>
      <c r="C401" s="11"/>
      <c r="D401" s="14"/>
      <c r="E401" s="11"/>
      <c r="F401" s="16"/>
    </row>
    <row r="402" spans="1:6" x14ac:dyDescent="0.25">
      <c r="A402" s="12"/>
      <c r="C402" s="11"/>
      <c r="D402" s="14"/>
      <c r="E402" s="11"/>
      <c r="F402" s="16"/>
    </row>
    <row r="403" spans="1:6" x14ac:dyDescent="0.25">
      <c r="A403" s="12"/>
      <c r="C403" s="11"/>
      <c r="D403" s="14"/>
      <c r="E403" s="11"/>
      <c r="F403" s="16"/>
    </row>
    <row r="404" spans="1:6" x14ac:dyDescent="0.25">
      <c r="A404" s="12"/>
      <c r="C404" s="11"/>
      <c r="D404" s="14"/>
      <c r="E404" s="11"/>
      <c r="F404" s="16"/>
    </row>
    <row r="405" spans="1:6" x14ac:dyDescent="0.25">
      <c r="A405" s="12"/>
      <c r="C405" s="11"/>
      <c r="D405" s="14"/>
      <c r="E405" s="11"/>
      <c r="F405" s="16"/>
    </row>
    <row r="406" spans="1:6" x14ac:dyDescent="0.25">
      <c r="A406" s="12"/>
      <c r="C406" s="11"/>
      <c r="D406" s="14"/>
      <c r="E406" s="11"/>
      <c r="F406" s="16"/>
    </row>
    <row r="407" spans="1:6" x14ac:dyDescent="0.25">
      <c r="A407" s="12"/>
      <c r="C407" s="11"/>
      <c r="D407" s="14"/>
      <c r="E407" s="11"/>
      <c r="F407" s="16"/>
    </row>
    <row r="408" spans="1:6" x14ac:dyDescent="0.25">
      <c r="A408" s="12"/>
      <c r="C408" s="11"/>
      <c r="D408" s="14"/>
      <c r="E408" s="11"/>
      <c r="F408" s="16"/>
    </row>
    <row r="409" spans="1:6" x14ac:dyDescent="0.25">
      <c r="A409" s="12"/>
      <c r="C409" s="11"/>
      <c r="D409" s="14"/>
      <c r="E409" s="11"/>
      <c r="F409" s="16"/>
    </row>
    <row r="410" spans="1:6" x14ac:dyDescent="0.25">
      <c r="A410" s="12"/>
      <c r="C410" s="11"/>
      <c r="D410" s="14"/>
      <c r="E410" s="11"/>
      <c r="F410" s="16"/>
    </row>
    <row r="411" spans="1:6" x14ac:dyDescent="0.25">
      <c r="A411" s="12"/>
      <c r="C411" s="11"/>
      <c r="D411" s="14"/>
      <c r="E411" s="11"/>
      <c r="F411" s="16"/>
    </row>
    <row r="412" spans="1:6" x14ac:dyDescent="0.25">
      <c r="A412" s="12"/>
      <c r="C412" s="11"/>
      <c r="D412" s="14"/>
      <c r="E412" s="11"/>
      <c r="F412" s="16"/>
    </row>
    <row r="413" spans="1:6" x14ac:dyDescent="0.25">
      <c r="A413" s="12"/>
      <c r="C413" s="11"/>
      <c r="D413" s="14"/>
      <c r="E413" s="11"/>
      <c r="F413" s="16"/>
    </row>
    <row r="414" spans="1:6" x14ac:dyDescent="0.25">
      <c r="A414" s="12"/>
      <c r="C414" s="11"/>
      <c r="D414" s="14"/>
      <c r="E414" s="11"/>
      <c r="F414" s="16"/>
    </row>
    <row r="415" spans="1:6" x14ac:dyDescent="0.25">
      <c r="A415" s="12"/>
      <c r="C415" s="11"/>
      <c r="D415" s="14"/>
      <c r="E415" s="11"/>
      <c r="F415" s="16"/>
    </row>
    <row r="416" spans="1:6" x14ac:dyDescent="0.25">
      <c r="A416" s="12"/>
      <c r="C416" s="11"/>
      <c r="D416" s="14"/>
      <c r="E416" s="11"/>
      <c r="F416" s="16"/>
    </row>
    <row r="417" spans="1:6" x14ac:dyDescent="0.25">
      <c r="A417" s="12"/>
      <c r="C417" s="11"/>
      <c r="D417" s="14"/>
      <c r="E417" s="11"/>
      <c r="F417" s="16"/>
    </row>
    <row r="418" spans="1:6" x14ac:dyDescent="0.25">
      <c r="A418" s="12"/>
      <c r="C418" s="11"/>
      <c r="D418" s="14"/>
      <c r="E418" s="11"/>
      <c r="F418" s="16"/>
    </row>
    <row r="419" spans="1:6" x14ac:dyDescent="0.25">
      <c r="A419" s="12"/>
      <c r="C419" s="11"/>
      <c r="D419" s="14"/>
      <c r="E419" s="11"/>
      <c r="F419" s="16"/>
    </row>
    <row r="420" spans="1:6" x14ac:dyDescent="0.25">
      <c r="A420" s="12"/>
      <c r="C420" s="11"/>
      <c r="D420" s="14"/>
      <c r="E420" s="11"/>
      <c r="F420" s="16"/>
    </row>
    <row r="421" spans="1:6" x14ac:dyDescent="0.25">
      <c r="A421" s="12"/>
      <c r="C421" s="11"/>
      <c r="D421" s="14"/>
      <c r="E421" s="11"/>
      <c r="F421" s="16"/>
    </row>
    <row r="422" spans="1:6" x14ac:dyDescent="0.25">
      <c r="A422" s="12"/>
      <c r="C422" s="11"/>
      <c r="D422" s="14"/>
      <c r="E422" s="11"/>
      <c r="F422" s="16"/>
    </row>
    <row r="423" spans="1:6" x14ac:dyDescent="0.25">
      <c r="A423" s="12"/>
      <c r="C423" s="11"/>
      <c r="D423" s="14"/>
      <c r="E423" s="11"/>
      <c r="F423" s="16"/>
    </row>
    <row r="424" spans="1:6" x14ac:dyDescent="0.25">
      <c r="A424" s="12"/>
      <c r="C424" s="11"/>
      <c r="D424" s="14"/>
      <c r="E424" s="11"/>
      <c r="F424" s="16"/>
    </row>
    <row r="425" spans="1:6" x14ac:dyDescent="0.25">
      <c r="A425" s="12"/>
      <c r="C425" s="11"/>
      <c r="D425" s="14"/>
      <c r="E425" s="11"/>
      <c r="F425" s="16"/>
    </row>
    <row r="426" spans="1:6" x14ac:dyDescent="0.25">
      <c r="A426" s="12"/>
      <c r="C426" s="11"/>
      <c r="D426" s="14"/>
      <c r="E426" s="11"/>
      <c r="F426" s="16"/>
    </row>
    <row r="427" spans="1:6" x14ac:dyDescent="0.25">
      <c r="A427" s="12"/>
      <c r="C427" s="11"/>
      <c r="D427" s="14"/>
      <c r="E427" s="11"/>
      <c r="F427" s="16"/>
    </row>
    <row r="428" spans="1:6" x14ac:dyDescent="0.25">
      <c r="A428" s="12"/>
      <c r="C428" s="11"/>
      <c r="D428" s="14"/>
      <c r="E428" s="11"/>
      <c r="F428" s="16"/>
    </row>
    <row r="429" spans="1:6" x14ac:dyDescent="0.25">
      <c r="A429" s="12"/>
      <c r="C429" s="11"/>
      <c r="D429" s="14"/>
      <c r="E429" s="11"/>
      <c r="F429" s="16"/>
    </row>
    <row r="430" spans="1:6" x14ac:dyDescent="0.25">
      <c r="A430" s="12"/>
      <c r="C430" s="11"/>
      <c r="D430" s="14"/>
      <c r="E430" s="11"/>
      <c r="F430" s="16"/>
    </row>
    <row r="431" spans="1:6" x14ac:dyDescent="0.25">
      <c r="A431" s="12"/>
      <c r="C431" s="11"/>
      <c r="D431" s="14"/>
      <c r="E431" s="11"/>
      <c r="F431" s="16"/>
    </row>
    <row r="432" spans="1:6" x14ac:dyDescent="0.25">
      <c r="A432" s="12"/>
      <c r="C432" s="11"/>
      <c r="D432" s="14"/>
      <c r="E432" s="11"/>
      <c r="F432" s="16"/>
    </row>
    <row r="433" spans="1:6" x14ac:dyDescent="0.25">
      <c r="A433" s="12"/>
      <c r="C433" s="11"/>
      <c r="D433" s="14"/>
      <c r="E433" s="11"/>
      <c r="F433" s="16"/>
    </row>
    <row r="434" spans="1:6" x14ac:dyDescent="0.25">
      <c r="A434" s="12"/>
      <c r="C434" s="11"/>
      <c r="D434" s="14"/>
      <c r="E434" s="11"/>
      <c r="F434" s="16"/>
    </row>
    <row r="435" spans="1:6" x14ac:dyDescent="0.25">
      <c r="A435" s="12"/>
      <c r="C435" s="11"/>
      <c r="D435" s="14"/>
      <c r="E435" s="11"/>
      <c r="F435" s="16"/>
    </row>
    <row r="436" spans="1:6" x14ac:dyDescent="0.25">
      <c r="A436" s="12"/>
      <c r="C436" s="11"/>
      <c r="D436" s="14"/>
      <c r="E436" s="11"/>
      <c r="F436" s="16"/>
    </row>
    <row r="437" spans="1:6" x14ac:dyDescent="0.25">
      <c r="A437" s="12"/>
      <c r="C437" s="11"/>
      <c r="D437" s="14"/>
      <c r="E437" s="11"/>
      <c r="F437" s="16"/>
    </row>
    <row r="438" spans="1:6" x14ac:dyDescent="0.25">
      <c r="A438" s="12"/>
      <c r="C438" s="11"/>
      <c r="D438" s="14"/>
      <c r="E438" s="11"/>
      <c r="F438" s="16"/>
    </row>
    <row r="439" spans="1:6" x14ac:dyDescent="0.25">
      <c r="A439" s="12"/>
      <c r="C439" s="11"/>
      <c r="D439" s="14"/>
      <c r="E439" s="11"/>
      <c r="F439" s="16"/>
    </row>
    <row r="440" spans="1:6" x14ac:dyDescent="0.25">
      <c r="A440" s="12"/>
      <c r="C440" s="11"/>
      <c r="D440" s="14"/>
      <c r="E440" s="11"/>
      <c r="F440" s="16"/>
    </row>
    <row r="441" spans="1:6" x14ac:dyDescent="0.25">
      <c r="A441" s="12"/>
      <c r="C441" s="11"/>
      <c r="D441" s="14"/>
      <c r="E441" s="11"/>
      <c r="F441" s="16"/>
    </row>
    <row r="442" spans="1:6" x14ac:dyDescent="0.25">
      <c r="A442" s="12"/>
      <c r="C442" s="11"/>
      <c r="D442" s="14"/>
      <c r="E442" s="11"/>
      <c r="F442" s="16"/>
    </row>
    <row r="443" spans="1:6" x14ac:dyDescent="0.25">
      <c r="A443" s="12"/>
      <c r="C443" s="11"/>
      <c r="D443" s="14"/>
      <c r="E443" s="11"/>
      <c r="F443" s="16"/>
    </row>
    <row r="444" spans="1:6" x14ac:dyDescent="0.25">
      <c r="A444" s="12"/>
      <c r="C444" s="11"/>
      <c r="D444" s="14"/>
      <c r="E444" s="11"/>
      <c r="F444" s="16"/>
    </row>
    <row r="445" spans="1:6" x14ac:dyDescent="0.25">
      <c r="A445" s="12"/>
      <c r="C445" s="11"/>
      <c r="D445" s="14"/>
      <c r="E445" s="11"/>
      <c r="F445" s="16"/>
    </row>
    <row r="446" spans="1:6" x14ac:dyDescent="0.25">
      <c r="A446" s="12"/>
      <c r="C446" s="11"/>
      <c r="D446" s="14"/>
      <c r="E446" s="11"/>
      <c r="F446" s="16"/>
    </row>
    <row r="447" spans="1:6" x14ac:dyDescent="0.25">
      <c r="A447" s="12"/>
      <c r="C447" s="11"/>
      <c r="D447" s="14"/>
      <c r="E447" s="11"/>
      <c r="F447" s="16"/>
    </row>
    <row r="448" spans="1:6" x14ac:dyDescent="0.25">
      <c r="A448" s="12"/>
      <c r="C448" s="11"/>
      <c r="D448" s="14"/>
      <c r="E448" s="11"/>
      <c r="F448" s="16"/>
    </row>
    <row r="449" spans="1:6" x14ac:dyDescent="0.25">
      <c r="A449" s="12"/>
      <c r="C449" s="11"/>
      <c r="D449" s="14"/>
      <c r="E449" s="11"/>
      <c r="F449" s="16"/>
    </row>
    <row r="450" spans="1:6" x14ac:dyDescent="0.25">
      <c r="A450" s="12"/>
      <c r="C450" s="11"/>
      <c r="D450" s="14"/>
      <c r="E450" s="11"/>
      <c r="F450" s="16"/>
    </row>
    <row r="451" spans="1:6" x14ac:dyDescent="0.25">
      <c r="A451" s="12"/>
      <c r="C451" s="11"/>
      <c r="D451" s="14"/>
      <c r="E451" s="11"/>
      <c r="F451" s="16"/>
    </row>
    <row r="452" spans="1:6" x14ac:dyDescent="0.25">
      <c r="A452" s="12"/>
      <c r="C452" s="11"/>
      <c r="D452" s="14"/>
      <c r="E452" s="11"/>
      <c r="F452" s="16"/>
    </row>
    <row r="453" spans="1:6" x14ac:dyDescent="0.25">
      <c r="A453" s="12"/>
      <c r="C453" s="11"/>
      <c r="D453" s="14"/>
      <c r="E453" s="11"/>
      <c r="F453" s="16"/>
    </row>
    <row r="454" spans="1:6" x14ac:dyDescent="0.25">
      <c r="A454" s="12"/>
      <c r="C454" s="11"/>
      <c r="D454" s="14"/>
      <c r="E454" s="11"/>
      <c r="F454" s="16"/>
    </row>
    <row r="455" spans="1:6" x14ac:dyDescent="0.25">
      <c r="A455" s="12"/>
      <c r="C455" s="11"/>
      <c r="D455" s="14"/>
      <c r="E455" s="11"/>
      <c r="F455" s="16"/>
    </row>
    <row r="456" spans="1:6" x14ac:dyDescent="0.25">
      <c r="A456" s="12"/>
      <c r="C456" s="11"/>
      <c r="D456" s="14"/>
      <c r="E456" s="11"/>
      <c r="F456" s="16"/>
    </row>
    <row r="457" spans="1:6" x14ac:dyDescent="0.25">
      <c r="A457" s="12"/>
      <c r="C457" s="11"/>
      <c r="D457" s="14"/>
      <c r="E457" s="11"/>
      <c r="F457" s="16"/>
    </row>
    <row r="458" spans="1:6" x14ac:dyDescent="0.25">
      <c r="A458" s="12"/>
      <c r="C458" s="11"/>
      <c r="D458" s="14"/>
      <c r="E458" s="11"/>
      <c r="F458" s="16"/>
    </row>
    <row r="459" spans="1:6" x14ac:dyDescent="0.25">
      <c r="A459" s="12"/>
      <c r="C459" s="11"/>
      <c r="D459" s="14"/>
      <c r="E459" s="11"/>
      <c r="F459" s="16"/>
    </row>
    <row r="460" spans="1:6" x14ac:dyDescent="0.25">
      <c r="A460" s="12"/>
      <c r="C460" s="11"/>
      <c r="D460" s="14"/>
      <c r="E460" s="11"/>
      <c r="F460" s="16"/>
    </row>
    <row r="461" spans="1:6" x14ac:dyDescent="0.25">
      <c r="A461" s="12"/>
      <c r="C461" s="11"/>
      <c r="D461" s="14"/>
      <c r="E461" s="11"/>
      <c r="F461" s="16"/>
    </row>
    <row r="462" spans="1:6" x14ac:dyDescent="0.25">
      <c r="A462" s="12"/>
      <c r="C462" s="11"/>
      <c r="D462" s="14"/>
      <c r="E462" s="11"/>
      <c r="F462" s="16"/>
    </row>
    <row r="463" spans="1:6" x14ac:dyDescent="0.25">
      <c r="A463" s="12"/>
      <c r="C463" s="11"/>
      <c r="D463" s="14"/>
      <c r="E463" s="11"/>
      <c r="F463" s="16"/>
    </row>
    <row r="464" spans="1:6" x14ac:dyDescent="0.25">
      <c r="A464" s="12"/>
      <c r="C464" s="11"/>
      <c r="D464" s="14"/>
      <c r="E464" s="11"/>
      <c r="F464" s="16"/>
    </row>
    <row r="465" spans="1:6" x14ac:dyDescent="0.25">
      <c r="A465" s="12"/>
      <c r="C465" s="11"/>
      <c r="D465" s="14"/>
      <c r="E465" s="11"/>
      <c r="F465" s="16"/>
    </row>
    <row r="466" spans="1:6" x14ac:dyDescent="0.25">
      <c r="A466" s="12"/>
      <c r="C466" s="11"/>
      <c r="D466" s="14"/>
      <c r="E466" s="11"/>
      <c r="F466" s="16"/>
    </row>
    <row r="467" spans="1:6" x14ac:dyDescent="0.25">
      <c r="A467" s="12"/>
      <c r="C467" s="11"/>
      <c r="D467" s="14"/>
      <c r="E467" s="11"/>
      <c r="F467" s="16"/>
    </row>
    <row r="468" spans="1:6" x14ac:dyDescent="0.25">
      <c r="A468" s="12"/>
      <c r="C468" s="11"/>
      <c r="D468" s="14"/>
      <c r="E468" s="11"/>
      <c r="F468" s="16"/>
    </row>
    <row r="469" spans="1:6" x14ac:dyDescent="0.25">
      <c r="A469" s="12"/>
      <c r="C469" s="11"/>
      <c r="D469" s="14"/>
      <c r="E469" s="11"/>
      <c r="F469" s="16"/>
    </row>
    <row r="470" spans="1:6" x14ac:dyDescent="0.25">
      <c r="A470" s="12"/>
      <c r="C470" s="11"/>
      <c r="D470" s="14"/>
      <c r="E470" s="11"/>
      <c r="F470" s="16"/>
    </row>
    <row r="471" spans="1:6" x14ac:dyDescent="0.25">
      <c r="A471" s="12"/>
      <c r="C471" s="11"/>
      <c r="D471" s="14"/>
      <c r="E471" s="11"/>
      <c r="F471" s="16"/>
    </row>
    <row r="472" spans="1:6" x14ac:dyDescent="0.25">
      <c r="A472" s="12"/>
      <c r="C472" s="11"/>
      <c r="D472" s="14"/>
      <c r="E472" s="11"/>
      <c r="F472" s="16"/>
    </row>
    <row r="473" spans="1:6" x14ac:dyDescent="0.25">
      <c r="A473" s="12"/>
      <c r="C473" s="11"/>
      <c r="D473" s="14"/>
      <c r="E473" s="11"/>
      <c r="F473" s="16"/>
    </row>
    <row r="474" spans="1:6" x14ac:dyDescent="0.25">
      <c r="A474" s="12"/>
      <c r="C474" s="11"/>
      <c r="D474" s="14"/>
      <c r="E474" s="11"/>
      <c r="F474" s="16"/>
    </row>
    <row r="475" spans="1:6" x14ac:dyDescent="0.25">
      <c r="A475" s="12"/>
      <c r="C475" s="11"/>
      <c r="D475" s="14"/>
      <c r="E475" s="11"/>
      <c r="F475" s="16"/>
    </row>
    <row r="476" spans="1:6" x14ac:dyDescent="0.25">
      <c r="A476" s="12"/>
      <c r="C476" s="11"/>
      <c r="D476" s="14"/>
      <c r="E476" s="11"/>
      <c r="F476" s="16"/>
    </row>
    <row r="477" spans="1:6" x14ac:dyDescent="0.25">
      <c r="A477" s="12"/>
      <c r="C477" s="11"/>
      <c r="D477" s="14"/>
      <c r="E477" s="11"/>
      <c r="F477" s="16"/>
    </row>
    <row r="478" spans="1:6" x14ac:dyDescent="0.25">
      <c r="A478" s="12"/>
      <c r="C478" s="11"/>
      <c r="D478" s="14"/>
      <c r="E478" s="11"/>
      <c r="F478" s="16"/>
    </row>
    <row r="479" spans="1:6" x14ac:dyDescent="0.25">
      <c r="A479" s="12"/>
      <c r="C479" s="11"/>
      <c r="D479" s="14"/>
      <c r="E479" s="11"/>
      <c r="F479" s="16"/>
    </row>
    <row r="480" spans="1:6" x14ac:dyDescent="0.25">
      <c r="A480" s="12"/>
      <c r="C480" s="11"/>
      <c r="D480" s="14"/>
      <c r="E480" s="11"/>
      <c r="F480" s="16"/>
    </row>
    <row r="481" spans="1:6" x14ac:dyDescent="0.25">
      <c r="A481" s="12"/>
      <c r="C481" s="11"/>
      <c r="D481" s="14"/>
      <c r="E481" s="11"/>
      <c r="F481" s="16"/>
    </row>
    <row r="482" spans="1:6" x14ac:dyDescent="0.25">
      <c r="A482" s="12"/>
      <c r="C482" s="11"/>
      <c r="D482" s="14"/>
      <c r="E482" s="11"/>
      <c r="F482" s="16"/>
    </row>
    <row r="483" spans="1:6" x14ac:dyDescent="0.25">
      <c r="A483" s="12"/>
      <c r="C483" s="11"/>
      <c r="D483" s="14"/>
      <c r="E483" s="11"/>
      <c r="F483" s="16"/>
    </row>
    <row r="484" spans="1:6" x14ac:dyDescent="0.25">
      <c r="A484" s="12"/>
      <c r="C484" s="11"/>
      <c r="D484" s="14"/>
      <c r="E484" s="11"/>
      <c r="F484" s="16"/>
    </row>
    <row r="485" spans="1:6" x14ac:dyDescent="0.25">
      <c r="A485" s="12"/>
      <c r="C485" s="11"/>
      <c r="D485" s="14"/>
      <c r="E485" s="11"/>
      <c r="F485" s="16"/>
    </row>
    <row r="486" spans="1:6" x14ac:dyDescent="0.25">
      <c r="A486" s="12"/>
      <c r="C486" s="11"/>
      <c r="D486" s="14"/>
      <c r="E486" s="11"/>
      <c r="F486" s="16"/>
    </row>
    <row r="487" spans="1:6" x14ac:dyDescent="0.25">
      <c r="A487" s="12"/>
      <c r="C487" s="11"/>
      <c r="D487" s="14"/>
      <c r="E487" s="11"/>
      <c r="F487" s="16"/>
    </row>
    <row r="488" spans="1:6" x14ac:dyDescent="0.25">
      <c r="A488" s="12"/>
      <c r="C488" s="11"/>
      <c r="D488" s="14"/>
      <c r="E488" s="11"/>
      <c r="F488" s="16"/>
    </row>
    <row r="489" spans="1:6" x14ac:dyDescent="0.25">
      <c r="A489" s="12"/>
      <c r="C489" s="11"/>
      <c r="D489" s="14"/>
      <c r="E489" s="11"/>
      <c r="F489" s="16"/>
    </row>
    <row r="490" spans="1:6" x14ac:dyDescent="0.25">
      <c r="A490" s="12"/>
      <c r="C490" s="11"/>
      <c r="D490" s="14"/>
      <c r="E490" s="11"/>
      <c r="F490" s="16"/>
    </row>
    <row r="491" spans="1:6" x14ac:dyDescent="0.25">
      <c r="A491" s="12"/>
      <c r="C491" s="11"/>
      <c r="D491" s="14"/>
      <c r="E491" s="11"/>
      <c r="F491" s="16"/>
    </row>
    <row r="492" spans="1:6" x14ac:dyDescent="0.25">
      <c r="A492" s="12"/>
      <c r="C492" s="11"/>
      <c r="D492" s="14"/>
      <c r="E492" s="11"/>
      <c r="F492" s="16"/>
    </row>
    <row r="493" spans="1:6" x14ac:dyDescent="0.25">
      <c r="A493" s="12"/>
      <c r="C493" s="11"/>
      <c r="D493" s="14"/>
      <c r="E493" s="11"/>
      <c r="F493" s="16"/>
    </row>
    <row r="494" spans="1:6" x14ac:dyDescent="0.25">
      <c r="A494" s="12"/>
      <c r="C494" s="11"/>
      <c r="D494" s="14"/>
      <c r="E494" s="11"/>
      <c r="F494" s="16"/>
    </row>
    <row r="495" spans="1:6" x14ac:dyDescent="0.25">
      <c r="A495" s="12"/>
      <c r="C495" s="11"/>
      <c r="D495" s="14"/>
      <c r="E495" s="11"/>
      <c r="F495" s="16"/>
    </row>
    <row r="496" spans="1:6" x14ac:dyDescent="0.25">
      <c r="A496" s="12"/>
      <c r="C496" s="11"/>
      <c r="D496" s="14"/>
      <c r="E496" s="11"/>
      <c r="F496" s="16"/>
    </row>
    <row r="497" spans="1:6" x14ac:dyDescent="0.25">
      <c r="A497" s="12"/>
      <c r="C497" s="11"/>
      <c r="D497" s="14"/>
      <c r="E497" s="11"/>
      <c r="F497" s="16"/>
    </row>
    <row r="498" spans="1:6" x14ac:dyDescent="0.25">
      <c r="A498" s="12"/>
      <c r="C498" s="11"/>
      <c r="D498" s="14"/>
      <c r="E498" s="11"/>
      <c r="F498" s="16"/>
    </row>
    <row r="499" spans="1:6" x14ac:dyDescent="0.25">
      <c r="A499" s="12"/>
      <c r="C499" s="11"/>
      <c r="D499" s="14"/>
      <c r="E499" s="11"/>
      <c r="F499" s="16"/>
    </row>
    <row r="500" spans="1:6" x14ac:dyDescent="0.25">
      <c r="A500" s="12"/>
      <c r="C500" s="11"/>
      <c r="D500" s="14"/>
      <c r="E500" s="11"/>
      <c r="F500" s="16"/>
    </row>
    <row r="501" spans="1:6" x14ac:dyDescent="0.25">
      <c r="A501" s="12"/>
      <c r="C501" s="11"/>
      <c r="D501" s="14"/>
      <c r="E501" s="11"/>
      <c r="F501" s="16"/>
    </row>
    <row r="502" spans="1:6" x14ac:dyDescent="0.25">
      <c r="A502" s="12"/>
      <c r="C502" s="11"/>
      <c r="D502" s="14"/>
      <c r="E502" s="11"/>
      <c r="F502" s="16"/>
    </row>
    <row r="503" spans="1:6" x14ac:dyDescent="0.25">
      <c r="A503" s="12"/>
      <c r="C503" s="11"/>
      <c r="D503" s="14"/>
      <c r="E503" s="11"/>
      <c r="F503" s="16"/>
    </row>
    <row r="504" spans="1:6" x14ac:dyDescent="0.25">
      <c r="A504" s="12"/>
      <c r="C504" s="11"/>
      <c r="D504" s="14"/>
      <c r="E504" s="11"/>
      <c r="F504" s="16"/>
    </row>
    <row r="505" spans="1:6" x14ac:dyDescent="0.25">
      <c r="A505" s="12"/>
      <c r="C505" s="11"/>
      <c r="D505" s="14"/>
      <c r="E505" s="11"/>
      <c r="F505" s="16"/>
    </row>
    <row r="506" spans="1:6" x14ac:dyDescent="0.25">
      <c r="A506" s="12"/>
      <c r="C506" s="11"/>
      <c r="D506" s="14"/>
      <c r="E506" s="11"/>
      <c r="F506" s="16"/>
    </row>
    <row r="507" spans="1:6" x14ac:dyDescent="0.25">
      <c r="A507" s="12"/>
      <c r="C507" s="11"/>
      <c r="D507" s="14"/>
      <c r="E507" s="11"/>
      <c r="F507" s="16"/>
    </row>
    <row r="508" spans="1:6" x14ac:dyDescent="0.25">
      <c r="A508" s="12"/>
      <c r="C508" s="11"/>
      <c r="D508" s="14"/>
      <c r="E508" s="11"/>
      <c r="F508" s="16"/>
    </row>
    <row r="509" spans="1:6" x14ac:dyDescent="0.25">
      <c r="A509" s="12"/>
      <c r="C509" s="11"/>
      <c r="D509" s="14"/>
      <c r="E509" s="11"/>
      <c r="F509" s="16"/>
    </row>
    <row r="510" spans="1:6" x14ac:dyDescent="0.25">
      <c r="A510" s="12"/>
      <c r="C510" s="11"/>
      <c r="D510" s="14"/>
      <c r="E510" s="11"/>
      <c r="F510" s="16"/>
    </row>
    <row r="511" spans="1:6" x14ac:dyDescent="0.25">
      <c r="A511" s="12"/>
      <c r="C511" s="11"/>
      <c r="D511" s="14"/>
      <c r="E511" s="11"/>
      <c r="F511" s="16"/>
    </row>
    <row r="512" spans="1:6" x14ac:dyDescent="0.25">
      <c r="A512" s="12"/>
      <c r="C512" s="11"/>
      <c r="D512" s="14"/>
      <c r="E512" s="11"/>
      <c r="F512" s="16"/>
    </row>
    <row r="513" spans="1:6" x14ac:dyDescent="0.25">
      <c r="A513" s="12"/>
      <c r="C513" s="11"/>
      <c r="D513" s="14"/>
      <c r="E513" s="11"/>
      <c r="F513" s="16"/>
    </row>
    <row r="514" spans="1:6" x14ac:dyDescent="0.25">
      <c r="A514" s="12"/>
      <c r="C514" s="11"/>
      <c r="D514" s="14"/>
      <c r="E514" s="11"/>
      <c r="F514" s="16"/>
    </row>
    <row r="515" spans="1:6" x14ac:dyDescent="0.25">
      <c r="A515" s="12"/>
      <c r="C515" s="11"/>
      <c r="D515" s="14"/>
      <c r="E515" s="11"/>
      <c r="F515" s="16"/>
    </row>
    <row r="516" spans="1:6" x14ac:dyDescent="0.25">
      <c r="A516" s="12"/>
      <c r="C516" s="11"/>
      <c r="D516" s="14"/>
      <c r="E516" s="11"/>
      <c r="F516" s="16"/>
    </row>
    <row r="517" spans="1:6" x14ac:dyDescent="0.25">
      <c r="A517" s="12"/>
      <c r="C517" s="11"/>
      <c r="D517" s="14"/>
      <c r="E517" s="11"/>
      <c r="F517" s="16"/>
    </row>
    <row r="518" spans="1:6" x14ac:dyDescent="0.25">
      <c r="A518" s="12"/>
      <c r="C518" s="11"/>
      <c r="D518" s="14"/>
      <c r="E518" s="11"/>
      <c r="F518" s="16"/>
    </row>
    <row r="519" spans="1:6" x14ac:dyDescent="0.25">
      <c r="A519" s="12"/>
      <c r="C519" s="11"/>
      <c r="D519" s="14"/>
      <c r="E519" s="11"/>
      <c r="F519" s="16"/>
    </row>
    <row r="520" spans="1:6" x14ac:dyDescent="0.25">
      <c r="A520" s="12"/>
      <c r="C520" s="11"/>
      <c r="D520" s="14"/>
      <c r="E520" s="11"/>
      <c r="F520" s="16"/>
    </row>
    <row r="521" spans="1:6" x14ac:dyDescent="0.25">
      <c r="A521" s="12"/>
      <c r="C521" s="11"/>
      <c r="D521" s="14"/>
      <c r="E521" s="11"/>
      <c r="F521" s="16"/>
    </row>
    <row r="522" spans="1:6" x14ac:dyDescent="0.25">
      <c r="A522" s="12"/>
      <c r="C522" s="11"/>
      <c r="D522" s="14"/>
      <c r="E522" s="11"/>
      <c r="F522" s="16"/>
    </row>
    <row r="523" spans="1:6" x14ac:dyDescent="0.25">
      <c r="A523" s="12"/>
      <c r="C523" s="11"/>
      <c r="D523" s="14"/>
      <c r="E523" s="11"/>
      <c r="F523" s="16"/>
    </row>
    <row r="524" spans="1:6" x14ac:dyDescent="0.25">
      <c r="A524" s="12"/>
      <c r="C524" s="11"/>
      <c r="D524" s="14"/>
      <c r="E524" s="11"/>
      <c r="F524" s="16"/>
    </row>
    <row r="525" spans="1:6" x14ac:dyDescent="0.25">
      <c r="A525" s="12"/>
      <c r="C525" s="11"/>
      <c r="D525" s="14"/>
      <c r="E525" s="11"/>
      <c r="F525" s="16"/>
    </row>
    <row r="526" spans="1:6" x14ac:dyDescent="0.25">
      <c r="A526" s="12"/>
      <c r="C526" s="11"/>
      <c r="D526" s="14"/>
      <c r="E526" s="11"/>
      <c r="F526" s="16"/>
    </row>
    <row r="527" spans="1:6" x14ac:dyDescent="0.25">
      <c r="A527" s="12"/>
      <c r="C527" s="11"/>
      <c r="D527" s="14"/>
      <c r="E527" s="11"/>
      <c r="F527" s="16"/>
    </row>
    <row r="528" spans="1:6" x14ac:dyDescent="0.25">
      <c r="A528" s="12"/>
      <c r="C528" s="11"/>
      <c r="D528" s="14"/>
      <c r="E528" s="11"/>
      <c r="F528" s="16"/>
    </row>
    <row r="529" spans="1:6" x14ac:dyDescent="0.25">
      <c r="A529" s="12"/>
      <c r="C529" s="11"/>
      <c r="D529" s="14"/>
      <c r="E529" s="11"/>
      <c r="F529" s="16"/>
    </row>
    <row r="530" spans="1:6" x14ac:dyDescent="0.25">
      <c r="A530" s="12"/>
      <c r="C530" s="11"/>
      <c r="D530" s="14"/>
      <c r="E530" s="11"/>
      <c r="F530" s="16"/>
    </row>
    <row r="531" spans="1:6" x14ac:dyDescent="0.25">
      <c r="A531" s="12"/>
      <c r="C531" s="11"/>
      <c r="D531" s="14"/>
      <c r="E531" s="11"/>
      <c r="F531" s="16"/>
    </row>
    <row r="532" spans="1:6" x14ac:dyDescent="0.25">
      <c r="A532" s="12"/>
      <c r="C532" s="11"/>
      <c r="D532" s="14"/>
      <c r="E532" s="11"/>
      <c r="F532" s="16"/>
    </row>
    <row r="533" spans="1:6" x14ac:dyDescent="0.25">
      <c r="A533" s="12"/>
      <c r="C533" s="11"/>
      <c r="D533" s="14"/>
      <c r="E533" s="11"/>
      <c r="F533" s="16"/>
    </row>
    <row r="534" spans="1:6" x14ac:dyDescent="0.25">
      <c r="A534" s="12"/>
      <c r="C534" s="11"/>
      <c r="D534" s="14"/>
      <c r="E534" s="11"/>
      <c r="F534" s="16"/>
    </row>
    <row r="535" spans="1:6" x14ac:dyDescent="0.25">
      <c r="A535" s="12"/>
      <c r="C535" s="11"/>
      <c r="D535" s="14"/>
      <c r="E535" s="11"/>
      <c r="F535" s="16"/>
    </row>
    <row r="536" spans="1:6" x14ac:dyDescent="0.25">
      <c r="A536" s="12"/>
      <c r="C536" s="11"/>
      <c r="D536" s="14"/>
      <c r="E536" s="11"/>
      <c r="F536" s="16"/>
    </row>
    <row r="537" spans="1:6" x14ac:dyDescent="0.25">
      <c r="A537" s="12"/>
      <c r="C537" s="11"/>
      <c r="D537" s="14"/>
      <c r="E537" s="11"/>
      <c r="F537" s="16"/>
    </row>
    <row r="538" spans="1:6" x14ac:dyDescent="0.25">
      <c r="A538" s="12"/>
      <c r="C538" s="11"/>
      <c r="D538" s="14"/>
      <c r="E538" s="11"/>
      <c r="F538" s="16"/>
    </row>
    <row r="539" spans="1:6" x14ac:dyDescent="0.25">
      <c r="A539" s="12"/>
      <c r="C539" s="11"/>
      <c r="D539" s="14"/>
      <c r="E539" s="11"/>
      <c r="F539" s="16"/>
    </row>
    <row r="540" spans="1:6" x14ac:dyDescent="0.25">
      <c r="A540" s="12"/>
      <c r="C540" s="11"/>
      <c r="D540" s="14"/>
      <c r="E540" s="11"/>
      <c r="F540" s="16"/>
    </row>
    <row r="541" spans="1:6" x14ac:dyDescent="0.25">
      <c r="A541" s="12"/>
      <c r="C541" s="11"/>
      <c r="D541" s="14"/>
      <c r="E541" s="11"/>
      <c r="F541" s="16"/>
    </row>
    <row r="542" spans="1:6" x14ac:dyDescent="0.25">
      <c r="A542" s="12"/>
      <c r="C542" s="11"/>
      <c r="D542" s="14"/>
      <c r="E542" s="11"/>
      <c r="F542" s="16"/>
    </row>
    <row r="543" spans="1:6" x14ac:dyDescent="0.25">
      <c r="A543" s="12"/>
      <c r="C543" s="11"/>
      <c r="D543" s="14"/>
      <c r="E543" s="11"/>
      <c r="F543" s="16"/>
    </row>
    <row r="544" spans="1:6" x14ac:dyDescent="0.25">
      <c r="A544" s="12"/>
      <c r="C544" s="11"/>
      <c r="D544" s="14"/>
      <c r="E544" s="11"/>
      <c r="F544" s="16"/>
    </row>
    <row r="545" spans="1:6" x14ac:dyDescent="0.25">
      <c r="A545" s="12"/>
      <c r="C545" s="11"/>
      <c r="D545" s="14"/>
      <c r="E545" s="11"/>
      <c r="F545" s="16"/>
    </row>
    <row r="546" spans="1:6" x14ac:dyDescent="0.25">
      <c r="A546" s="12"/>
      <c r="C546" s="11"/>
      <c r="D546" s="14"/>
      <c r="E546" s="11"/>
      <c r="F546" s="16"/>
    </row>
    <row r="547" spans="1:6" x14ac:dyDescent="0.25">
      <c r="A547" s="12"/>
      <c r="C547" s="11"/>
      <c r="D547" s="14"/>
      <c r="E547" s="11"/>
      <c r="F547" s="16"/>
    </row>
    <row r="548" spans="1:6" x14ac:dyDescent="0.25">
      <c r="A548" s="12"/>
      <c r="C548" s="11"/>
      <c r="D548" s="14"/>
      <c r="E548" s="11"/>
      <c r="F548" s="16"/>
    </row>
    <row r="549" spans="1:6" x14ac:dyDescent="0.25">
      <c r="A549" s="12"/>
      <c r="C549" s="11"/>
      <c r="D549" s="14"/>
      <c r="E549" s="11"/>
      <c r="F549" s="16"/>
    </row>
    <row r="550" spans="1:6" x14ac:dyDescent="0.25">
      <c r="A550" s="12"/>
      <c r="C550" s="11"/>
      <c r="D550" s="14"/>
      <c r="E550" s="11"/>
      <c r="F550" s="16"/>
    </row>
    <row r="551" spans="1:6" x14ac:dyDescent="0.25">
      <c r="A551" s="12"/>
      <c r="C551" s="11"/>
      <c r="D551" s="14"/>
      <c r="E551" s="11"/>
      <c r="F551" s="16"/>
    </row>
    <row r="552" spans="1:6" x14ac:dyDescent="0.25">
      <c r="A552" s="12"/>
      <c r="C552" s="11"/>
      <c r="D552" s="14"/>
      <c r="E552" s="11"/>
      <c r="F552" s="16"/>
    </row>
    <row r="553" spans="1:6" x14ac:dyDescent="0.25">
      <c r="A553" s="12"/>
      <c r="C553" s="11"/>
      <c r="D553" s="14"/>
      <c r="E553" s="11"/>
      <c r="F553" s="16"/>
    </row>
    <row r="554" spans="1:6" x14ac:dyDescent="0.25">
      <c r="A554" s="12"/>
      <c r="C554" s="11"/>
      <c r="D554" s="14"/>
      <c r="E554" s="11"/>
      <c r="F554" s="16"/>
    </row>
    <row r="555" spans="1:6" x14ac:dyDescent="0.25">
      <c r="A555" s="12"/>
      <c r="C555" s="11"/>
      <c r="D555" s="14"/>
      <c r="E555" s="11"/>
      <c r="F555" s="16"/>
    </row>
    <row r="556" spans="1:6" x14ac:dyDescent="0.25">
      <c r="A556" s="12"/>
      <c r="C556" s="11"/>
      <c r="D556" s="14"/>
      <c r="E556" s="11"/>
      <c r="F556" s="16"/>
    </row>
    <row r="557" spans="1:6" x14ac:dyDescent="0.25">
      <c r="A557" s="12"/>
      <c r="C557" s="11"/>
      <c r="D557" s="14"/>
      <c r="E557" s="11"/>
      <c r="F557" s="16"/>
    </row>
    <row r="558" spans="1:6" x14ac:dyDescent="0.25">
      <c r="A558" s="12"/>
      <c r="C558" s="11"/>
      <c r="D558" s="14"/>
      <c r="E558" s="11"/>
      <c r="F558" s="16"/>
    </row>
    <row r="559" spans="1:6" x14ac:dyDescent="0.25">
      <c r="A559" s="12"/>
      <c r="C559" s="11"/>
      <c r="D559" s="14"/>
      <c r="E559" s="11"/>
      <c r="F559" s="16"/>
    </row>
    <row r="560" spans="1:6" x14ac:dyDescent="0.25">
      <c r="A560" s="12"/>
      <c r="C560" s="11"/>
      <c r="D560" s="14"/>
      <c r="E560" s="11"/>
      <c r="F560" s="16"/>
    </row>
    <row r="561" spans="1:6" x14ac:dyDescent="0.25">
      <c r="A561" s="12"/>
      <c r="C561" s="11"/>
      <c r="D561" s="14"/>
      <c r="E561" s="11"/>
      <c r="F561" s="16"/>
    </row>
    <row r="562" spans="1:6" x14ac:dyDescent="0.25">
      <c r="A562" s="12"/>
      <c r="C562" s="11"/>
      <c r="D562" s="14"/>
      <c r="E562" s="11"/>
      <c r="F562" s="16"/>
    </row>
    <row r="563" spans="1:6" x14ac:dyDescent="0.25">
      <c r="A563" s="12"/>
      <c r="C563" s="11"/>
      <c r="D563" s="14"/>
      <c r="E563" s="11"/>
      <c r="F563" s="16"/>
    </row>
    <row r="564" spans="1:6" x14ac:dyDescent="0.25">
      <c r="A564" s="12"/>
      <c r="C564" s="11"/>
      <c r="D564" s="14"/>
      <c r="E564" s="11"/>
      <c r="F564" s="16"/>
    </row>
    <row r="565" spans="1:6" x14ac:dyDescent="0.25">
      <c r="A565" s="12"/>
      <c r="C565" s="11"/>
      <c r="D565" s="14"/>
      <c r="E565" s="11"/>
      <c r="F565" s="16"/>
    </row>
    <row r="566" spans="1:6" x14ac:dyDescent="0.25">
      <c r="A566" s="12"/>
      <c r="C566" s="11"/>
      <c r="D566" s="14"/>
      <c r="E566" s="11"/>
      <c r="F566" s="16"/>
    </row>
    <row r="567" spans="1:6" x14ac:dyDescent="0.25">
      <c r="A567" s="12"/>
      <c r="C567" s="11"/>
      <c r="D567" s="14"/>
      <c r="E567" s="11"/>
      <c r="F567" s="16"/>
    </row>
    <row r="568" spans="1:6" x14ac:dyDescent="0.25">
      <c r="A568" s="12"/>
      <c r="C568" s="11"/>
      <c r="D568" s="14"/>
      <c r="E568" s="11"/>
      <c r="F568" s="16"/>
    </row>
    <row r="569" spans="1:6" x14ac:dyDescent="0.25">
      <c r="A569" s="12"/>
      <c r="C569" s="11"/>
      <c r="D569" s="14"/>
      <c r="E569" s="11"/>
      <c r="F569" s="16"/>
    </row>
    <row r="570" spans="1:6" x14ac:dyDescent="0.25">
      <c r="A570" s="12"/>
      <c r="C570" s="11"/>
      <c r="D570" s="14"/>
      <c r="E570" s="11"/>
      <c r="F570" s="16"/>
    </row>
    <row r="571" spans="1:6" x14ac:dyDescent="0.25">
      <c r="A571" s="12"/>
      <c r="C571" s="11"/>
      <c r="D571" s="14"/>
      <c r="E571" s="11"/>
      <c r="F571" s="16"/>
    </row>
    <row r="572" spans="1:6" x14ac:dyDescent="0.25">
      <c r="A572" s="12"/>
      <c r="C572" s="11"/>
      <c r="D572" s="14"/>
      <c r="E572" s="11"/>
      <c r="F572" s="16"/>
    </row>
    <row r="573" spans="1:6" x14ac:dyDescent="0.25">
      <c r="A573" s="12"/>
      <c r="C573" s="11"/>
      <c r="D573" s="14"/>
      <c r="E573" s="11"/>
      <c r="F573" s="16"/>
    </row>
    <row r="574" spans="1:6" x14ac:dyDescent="0.25">
      <c r="A574" s="12"/>
      <c r="C574" s="11"/>
      <c r="D574" s="14"/>
      <c r="E574" s="11"/>
      <c r="F574" s="16"/>
    </row>
    <row r="575" spans="1:6" x14ac:dyDescent="0.25">
      <c r="A575" s="12"/>
      <c r="C575" s="11"/>
      <c r="D575" s="14"/>
      <c r="E575" s="11"/>
      <c r="F575" s="16"/>
    </row>
    <row r="576" spans="1:6" x14ac:dyDescent="0.25">
      <c r="A576" s="12"/>
      <c r="C576" s="11"/>
      <c r="D576" s="14"/>
      <c r="E576" s="11"/>
      <c r="F576" s="16"/>
    </row>
    <row r="577" spans="1:6" x14ac:dyDescent="0.25">
      <c r="A577" s="12"/>
      <c r="C577" s="11"/>
      <c r="D577" s="14"/>
      <c r="E577" s="11"/>
      <c r="F577" s="16"/>
    </row>
    <row r="578" spans="1:6" x14ac:dyDescent="0.25">
      <c r="A578" s="12"/>
      <c r="C578" s="11"/>
      <c r="D578" s="14"/>
      <c r="E578" s="11"/>
      <c r="F578" s="16"/>
    </row>
    <row r="579" spans="1:6" x14ac:dyDescent="0.25">
      <c r="A579" s="12"/>
      <c r="C579" s="11"/>
      <c r="D579" s="14"/>
      <c r="E579" s="11"/>
      <c r="F579" s="16"/>
    </row>
    <row r="580" spans="1:6" x14ac:dyDescent="0.25">
      <c r="A580" s="12"/>
      <c r="C580" s="11"/>
      <c r="D580" s="14"/>
      <c r="E580" s="11"/>
      <c r="F580" s="16"/>
    </row>
    <row r="581" spans="1:6" x14ac:dyDescent="0.25">
      <c r="A581" s="12"/>
      <c r="C581" s="11"/>
      <c r="D581" s="14"/>
      <c r="E581" s="11"/>
      <c r="F581" s="16"/>
    </row>
    <row r="582" spans="1:6" x14ac:dyDescent="0.25">
      <c r="A582" s="12"/>
      <c r="C582" s="11"/>
      <c r="D582" s="14"/>
      <c r="E582" s="11"/>
      <c r="F582" s="16"/>
    </row>
    <row r="583" spans="1:6" x14ac:dyDescent="0.25">
      <c r="A583" s="12"/>
      <c r="C583" s="11"/>
      <c r="D583" s="14"/>
      <c r="E583" s="11"/>
      <c r="F583" s="16"/>
    </row>
    <row r="584" spans="1:6" x14ac:dyDescent="0.25">
      <c r="A584" s="12"/>
      <c r="C584" s="11"/>
      <c r="D584" s="14"/>
      <c r="E584" s="11"/>
      <c r="F584" s="16"/>
    </row>
    <row r="585" spans="1:6" x14ac:dyDescent="0.25">
      <c r="A585" s="12"/>
      <c r="C585" s="11"/>
      <c r="D585" s="14"/>
      <c r="E585" s="11"/>
      <c r="F585" s="16"/>
    </row>
    <row r="586" spans="1:6" x14ac:dyDescent="0.25">
      <c r="A586" s="12"/>
      <c r="C586" s="11"/>
      <c r="D586" s="14"/>
      <c r="E586" s="11"/>
      <c r="F586" s="16"/>
    </row>
    <row r="587" spans="1:6" x14ac:dyDescent="0.25">
      <c r="A587" s="12"/>
      <c r="C587" s="11"/>
      <c r="D587" s="14"/>
      <c r="E587" s="11"/>
      <c r="F587" s="16"/>
    </row>
    <row r="588" spans="1:6" x14ac:dyDescent="0.25">
      <c r="A588" s="12"/>
      <c r="C588" s="11"/>
      <c r="D588" s="14"/>
      <c r="E588" s="11"/>
      <c r="F588" s="16"/>
    </row>
    <row r="589" spans="1:6" x14ac:dyDescent="0.25">
      <c r="A589" s="12"/>
      <c r="C589" s="11"/>
      <c r="D589" s="14"/>
      <c r="E589" s="11"/>
      <c r="F589" s="16"/>
    </row>
    <row r="590" spans="1:6" x14ac:dyDescent="0.25">
      <c r="A590" s="12"/>
      <c r="C590" s="11"/>
      <c r="D590" s="14"/>
      <c r="E590" s="11"/>
      <c r="F590" s="16"/>
    </row>
    <row r="591" spans="1:6" x14ac:dyDescent="0.25">
      <c r="A591" s="12"/>
      <c r="C591" s="11"/>
      <c r="D591" s="14"/>
      <c r="E591" s="11"/>
      <c r="F591" s="16"/>
    </row>
    <row r="592" spans="1:6" x14ac:dyDescent="0.25">
      <c r="A592" s="12"/>
      <c r="C592" s="11"/>
      <c r="D592" s="14"/>
      <c r="E592" s="11"/>
      <c r="F592" s="16"/>
    </row>
    <row r="593" spans="1:6" x14ac:dyDescent="0.25">
      <c r="A593" s="12"/>
      <c r="C593" s="11"/>
      <c r="D593" s="14"/>
      <c r="E593" s="11"/>
      <c r="F593" s="16"/>
    </row>
    <row r="594" spans="1:6" x14ac:dyDescent="0.25">
      <c r="A594" s="12"/>
      <c r="C594" s="11"/>
      <c r="D594" s="14"/>
      <c r="E594" s="11"/>
      <c r="F594" s="16"/>
    </row>
    <row r="595" spans="1:6" x14ac:dyDescent="0.25">
      <c r="A595" s="12"/>
      <c r="C595" s="11"/>
      <c r="D595" s="14"/>
      <c r="E595" s="11"/>
      <c r="F595" s="16"/>
    </row>
    <row r="596" spans="1:6" x14ac:dyDescent="0.25">
      <c r="A596" s="12"/>
      <c r="C596" s="11"/>
      <c r="D596" s="14"/>
      <c r="E596" s="11"/>
      <c r="F596" s="16"/>
    </row>
    <row r="597" spans="1:6" x14ac:dyDescent="0.25">
      <c r="A597" s="12"/>
      <c r="C597" s="11"/>
      <c r="D597" s="14"/>
      <c r="E597" s="11"/>
      <c r="F597" s="16"/>
    </row>
    <row r="598" spans="1:6" x14ac:dyDescent="0.25">
      <c r="A598" s="12"/>
      <c r="C598" s="11"/>
      <c r="D598" s="14"/>
      <c r="E598" s="11"/>
      <c r="F598" s="16"/>
    </row>
    <row r="599" spans="1:6" x14ac:dyDescent="0.25">
      <c r="A599" s="12"/>
      <c r="C599" s="11"/>
      <c r="D599" s="14"/>
      <c r="E599" s="11"/>
      <c r="F599" s="16"/>
    </row>
    <row r="600" spans="1:6" x14ac:dyDescent="0.25">
      <c r="A600" s="12"/>
      <c r="C600" s="11"/>
      <c r="D600" s="14"/>
      <c r="E600" s="11"/>
      <c r="F600" s="16"/>
    </row>
    <row r="601" spans="1:6" x14ac:dyDescent="0.25">
      <c r="A601" s="12"/>
      <c r="C601" s="11"/>
      <c r="D601" s="14"/>
      <c r="E601" s="11"/>
      <c r="F601" s="16"/>
    </row>
    <row r="602" spans="1:6" x14ac:dyDescent="0.25">
      <c r="A602" s="12"/>
      <c r="C602" s="11"/>
      <c r="D602" s="14"/>
      <c r="E602" s="11"/>
      <c r="F602" s="16"/>
    </row>
    <row r="603" spans="1:6" x14ac:dyDescent="0.25">
      <c r="A603" s="12"/>
      <c r="C603" s="11"/>
      <c r="D603" s="14"/>
      <c r="E603" s="11"/>
      <c r="F603" s="16"/>
    </row>
    <row r="604" spans="1:6" x14ac:dyDescent="0.25">
      <c r="A604" s="12"/>
      <c r="C604" s="11"/>
      <c r="D604" s="14"/>
      <c r="E604" s="11"/>
      <c r="F604" s="16"/>
    </row>
    <row r="605" spans="1:6" x14ac:dyDescent="0.25">
      <c r="A605" s="12"/>
      <c r="C605" s="11"/>
      <c r="D605" s="14"/>
      <c r="E605" s="11"/>
      <c r="F605" s="16"/>
    </row>
    <row r="606" spans="1:6" x14ac:dyDescent="0.25">
      <c r="A606" s="12"/>
      <c r="C606" s="11"/>
      <c r="D606" s="14"/>
      <c r="E606" s="11"/>
      <c r="F606" s="16"/>
    </row>
    <row r="607" spans="1:6" x14ac:dyDescent="0.25">
      <c r="A607" s="12"/>
      <c r="C607" s="11"/>
      <c r="D607" s="14"/>
      <c r="E607" s="11"/>
      <c r="F607" s="16"/>
    </row>
    <row r="608" spans="1:6" x14ac:dyDescent="0.25">
      <c r="A608" s="12"/>
      <c r="C608" s="11"/>
      <c r="D608" s="14"/>
      <c r="E608" s="11"/>
      <c r="F608" s="16"/>
    </row>
    <row r="609" spans="1:6" x14ac:dyDescent="0.25">
      <c r="A609" s="12"/>
      <c r="C609" s="11"/>
      <c r="D609" s="14"/>
      <c r="E609" s="11"/>
      <c r="F609" s="16"/>
    </row>
    <row r="610" spans="1:6" x14ac:dyDescent="0.25">
      <c r="A610" s="12"/>
      <c r="C610" s="11"/>
      <c r="D610" s="14"/>
      <c r="E610" s="11"/>
      <c r="F610" s="16"/>
    </row>
    <row r="611" spans="1:6" x14ac:dyDescent="0.25">
      <c r="A611" s="12"/>
      <c r="C611" s="11"/>
      <c r="D611" s="14"/>
      <c r="E611" s="11"/>
      <c r="F611" s="16"/>
    </row>
    <row r="612" spans="1:6" x14ac:dyDescent="0.25">
      <c r="A612" s="12"/>
      <c r="C612" s="11"/>
      <c r="D612" s="14"/>
      <c r="E612" s="11"/>
      <c r="F612" s="16"/>
    </row>
    <row r="613" spans="1:6" x14ac:dyDescent="0.25">
      <c r="A613" s="12"/>
      <c r="C613" s="11"/>
      <c r="D613" s="14"/>
      <c r="E613" s="11"/>
      <c r="F613" s="16"/>
    </row>
    <row r="614" spans="1:6" x14ac:dyDescent="0.25">
      <c r="A614" s="12"/>
      <c r="C614" s="11"/>
      <c r="D614" s="14"/>
      <c r="E614" s="11"/>
      <c r="F614" s="16"/>
    </row>
    <row r="615" spans="1:6" x14ac:dyDescent="0.25">
      <c r="A615" s="12"/>
      <c r="C615" s="11"/>
      <c r="D615" s="14"/>
      <c r="E615" s="11"/>
      <c r="F615" s="16"/>
    </row>
    <row r="616" spans="1:6" x14ac:dyDescent="0.25">
      <c r="A616" s="12"/>
      <c r="C616" s="11"/>
      <c r="D616" s="14"/>
      <c r="E616" s="11"/>
      <c r="F616" s="16"/>
    </row>
    <row r="617" spans="1:6" x14ac:dyDescent="0.25">
      <c r="A617" s="12"/>
      <c r="C617" s="11"/>
      <c r="D617" s="14"/>
      <c r="E617" s="11"/>
      <c r="F617" s="16"/>
    </row>
    <row r="618" spans="1:6" x14ac:dyDescent="0.25">
      <c r="A618" s="12"/>
      <c r="C618" s="11"/>
      <c r="D618" s="14"/>
      <c r="E618" s="11"/>
      <c r="F618" s="16"/>
    </row>
    <row r="619" spans="1:6" x14ac:dyDescent="0.25">
      <c r="A619" s="12"/>
      <c r="C619" s="11"/>
      <c r="D619" s="14"/>
      <c r="E619" s="11"/>
      <c r="F619" s="16"/>
    </row>
    <row r="620" spans="1:6" x14ac:dyDescent="0.25">
      <c r="A620" s="12"/>
      <c r="C620" s="11"/>
      <c r="D620" s="14"/>
      <c r="E620" s="11"/>
      <c r="F620" s="16"/>
    </row>
    <row r="621" spans="1:6" x14ac:dyDescent="0.25">
      <c r="A621" s="12"/>
      <c r="C621" s="11"/>
      <c r="D621" s="14"/>
      <c r="E621" s="11"/>
      <c r="F621" s="16"/>
    </row>
    <row r="622" spans="1:6" x14ac:dyDescent="0.25">
      <c r="A622" s="12"/>
      <c r="C622" s="11"/>
      <c r="D622" s="14"/>
      <c r="E622" s="11"/>
      <c r="F622" s="16"/>
    </row>
    <row r="623" spans="1:6" x14ac:dyDescent="0.25">
      <c r="A623" s="12"/>
      <c r="C623" s="11"/>
      <c r="D623" s="14"/>
      <c r="E623" s="11"/>
      <c r="F623" s="16"/>
    </row>
    <row r="624" spans="1:6" x14ac:dyDescent="0.25">
      <c r="A624" s="12"/>
      <c r="C624" s="11"/>
      <c r="D624" s="14"/>
      <c r="E624" s="11"/>
      <c r="F624" s="16"/>
    </row>
    <row r="625" spans="1:6" x14ac:dyDescent="0.25">
      <c r="A625" s="12"/>
      <c r="C625" s="11"/>
      <c r="D625" s="14"/>
      <c r="E625" s="11"/>
      <c r="F625" s="16"/>
    </row>
    <row r="626" spans="1:6" x14ac:dyDescent="0.25">
      <c r="A626" s="12"/>
      <c r="C626" s="11"/>
      <c r="D626" s="14"/>
      <c r="E626" s="11"/>
      <c r="F626" s="16"/>
    </row>
    <row r="627" spans="1:6" x14ac:dyDescent="0.25">
      <c r="A627" s="12"/>
      <c r="C627" s="11"/>
      <c r="D627" s="14"/>
      <c r="E627" s="11"/>
      <c r="F627" s="16"/>
    </row>
    <row r="628" spans="1:6" x14ac:dyDescent="0.25">
      <c r="A628" s="12"/>
      <c r="C628" s="11"/>
      <c r="D628" s="14"/>
      <c r="E628" s="11"/>
      <c r="F628" s="16"/>
    </row>
    <row r="629" spans="1:6" x14ac:dyDescent="0.25">
      <c r="A629" s="12"/>
      <c r="C629" s="11"/>
      <c r="D629" s="14"/>
      <c r="E629" s="11"/>
      <c r="F629" s="16"/>
    </row>
    <row r="630" spans="1:6" x14ac:dyDescent="0.25">
      <c r="A630" s="12"/>
      <c r="C630" s="11"/>
      <c r="D630" s="14"/>
      <c r="E630" s="11"/>
      <c r="F630" s="16"/>
    </row>
    <row r="631" spans="1:6" x14ac:dyDescent="0.25">
      <c r="A631" s="12"/>
      <c r="C631" s="11"/>
      <c r="D631" s="14"/>
      <c r="E631" s="11"/>
      <c r="F631" s="16"/>
    </row>
    <row r="632" spans="1:6" x14ac:dyDescent="0.25">
      <c r="A632" s="12"/>
      <c r="C632" s="11"/>
      <c r="D632" s="14"/>
      <c r="E632" s="11"/>
      <c r="F632" s="16"/>
    </row>
    <row r="633" spans="1:6" x14ac:dyDescent="0.25">
      <c r="A633" s="12"/>
      <c r="C633" s="11"/>
      <c r="D633" s="14"/>
      <c r="E633" s="11"/>
      <c r="F633" s="16"/>
    </row>
    <row r="634" spans="1:6" x14ac:dyDescent="0.25">
      <c r="A634" s="12"/>
      <c r="C634" s="11"/>
      <c r="D634" s="14"/>
      <c r="E634" s="11"/>
      <c r="F634" s="16"/>
    </row>
    <row r="635" spans="1:6" x14ac:dyDescent="0.25">
      <c r="A635" s="12"/>
      <c r="C635" s="11"/>
      <c r="D635" s="14"/>
      <c r="E635" s="11"/>
      <c r="F635" s="16"/>
    </row>
    <row r="636" spans="1:6" x14ac:dyDescent="0.25">
      <c r="A636" s="12"/>
      <c r="C636" s="11"/>
      <c r="D636" s="14"/>
      <c r="E636" s="11"/>
      <c r="F636" s="16"/>
    </row>
    <row r="637" spans="1:6" x14ac:dyDescent="0.25">
      <c r="A637" s="12"/>
      <c r="C637" s="11"/>
      <c r="D637" s="14"/>
      <c r="E637" s="11"/>
      <c r="F637" s="16"/>
    </row>
    <row r="638" spans="1:6" x14ac:dyDescent="0.25">
      <c r="A638" s="12"/>
      <c r="C638" s="11"/>
      <c r="D638" s="14"/>
      <c r="E638" s="11"/>
      <c r="F638" s="16"/>
    </row>
    <row r="639" spans="1:6" x14ac:dyDescent="0.25">
      <c r="A639" s="12"/>
      <c r="C639" s="11"/>
      <c r="D639" s="14"/>
      <c r="E639" s="11"/>
      <c r="F639" s="16"/>
    </row>
    <row r="640" spans="1:6" x14ac:dyDescent="0.25">
      <c r="A640" s="12"/>
      <c r="C640" s="11"/>
      <c r="D640" s="14"/>
      <c r="E640" s="11"/>
      <c r="F640" s="16"/>
    </row>
    <row r="641" spans="1:6" x14ac:dyDescent="0.25">
      <c r="A641" s="12"/>
      <c r="C641" s="11"/>
      <c r="D641" s="14"/>
      <c r="E641" s="11"/>
      <c r="F641" s="16"/>
    </row>
    <row r="642" spans="1:6" x14ac:dyDescent="0.25">
      <c r="A642" s="12"/>
      <c r="C642" s="11"/>
      <c r="D642" s="14"/>
      <c r="E642" s="11"/>
      <c r="F642" s="16"/>
    </row>
    <row r="643" spans="1:6" x14ac:dyDescent="0.25">
      <c r="A643" s="12"/>
      <c r="C643" s="11"/>
      <c r="D643" s="14"/>
      <c r="E643" s="11"/>
      <c r="F643" s="16"/>
    </row>
    <row r="644" spans="1:6" x14ac:dyDescent="0.25">
      <c r="A644" s="12"/>
      <c r="C644" s="11"/>
      <c r="D644" s="14"/>
      <c r="E644" s="11"/>
      <c r="F644" s="16"/>
    </row>
    <row r="645" spans="1:6" x14ac:dyDescent="0.25">
      <c r="A645" s="12"/>
      <c r="C645" s="11"/>
      <c r="D645" s="14"/>
      <c r="E645" s="11"/>
      <c r="F645" s="16"/>
    </row>
    <row r="646" spans="1:6" x14ac:dyDescent="0.25">
      <c r="A646" s="12"/>
      <c r="C646" s="11"/>
      <c r="D646" s="14"/>
      <c r="E646" s="11"/>
      <c r="F646" s="16"/>
    </row>
    <row r="647" spans="1:6" x14ac:dyDescent="0.25">
      <c r="A647" s="12"/>
      <c r="C647" s="11"/>
      <c r="D647" s="14"/>
      <c r="E647" s="11"/>
      <c r="F647" s="16"/>
    </row>
    <row r="648" spans="1:6" x14ac:dyDescent="0.25">
      <c r="A648" s="12"/>
      <c r="C648" s="11"/>
      <c r="D648" s="14"/>
      <c r="E648" s="11"/>
      <c r="F648" s="16"/>
    </row>
    <row r="649" spans="1:6" x14ac:dyDescent="0.25">
      <c r="A649" s="12"/>
      <c r="C649" s="11"/>
      <c r="D649" s="14"/>
      <c r="E649" s="11"/>
      <c r="F649" s="16"/>
    </row>
    <row r="650" spans="1:6" x14ac:dyDescent="0.25">
      <c r="A650" s="12"/>
      <c r="C650" s="11"/>
      <c r="D650" s="14"/>
      <c r="E650" s="11"/>
      <c r="F650" s="16"/>
    </row>
    <row r="651" spans="1:6" x14ac:dyDescent="0.25">
      <c r="A651" s="12"/>
      <c r="C651" s="11"/>
      <c r="D651" s="14"/>
      <c r="E651" s="11"/>
      <c r="F651" s="16"/>
    </row>
    <row r="652" spans="1:6" x14ac:dyDescent="0.25">
      <c r="A652" s="12"/>
      <c r="C652" s="11"/>
      <c r="D652" s="14"/>
      <c r="E652" s="11"/>
      <c r="F652" s="16"/>
    </row>
    <row r="653" spans="1:6" x14ac:dyDescent="0.25">
      <c r="A653" s="12"/>
      <c r="C653" s="11"/>
      <c r="D653" s="14"/>
      <c r="E653" s="11"/>
      <c r="F653" s="16"/>
    </row>
    <row r="654" spans="1:6" x14ac:dyDescent="0.25">
      <c r="A654" s="12"/>
      <c r="C654" s="11"/>
      <c r="D654" s="14"/>
      <c r="E654" s="11"/>
      <c r="F654" s="16"/>
    </row>
    <row r="655" spans="1:6" x14ac:dyDescent="0.25">
      <c r="A655" s="12"/>
      <c r="C655" s="11"/>
      <c r="D655" s="14"/>
      <c r="E655" s="11"/>
      <c r="F655" s="16"/>
    </row>
    <row r="656" spans="1:6" x14ac:dyDescent="0.25">
      <c r="A656" s="12"/>
      <c r="C656" s="11"/>
      <c r="D656" s="14"/>
      <c r="E656" s="11"/>
      <c r="F656" s="16"/>
    </row>
    <row r="657" spans="1:6" x14ac:dyDescent="0.25">
      <c r="A657" s="12"/>
      <c r="C657" s="11"/>
      <c r="D657" s="14"/>
      <c r="E657" s="11"/>
      <c r="F657" s="16"/>
    </row>
    <row r="658" spans="1:6" x14ac:dyDescent="0.25">
      <c r="A658" s="12"/>
      <c r="C658" s="11"/>
      <c r="D658" s="14"/>
      <c r="E658" s="11"/>
      <c r="F658" s="16"/>
    </row>
    <row r="659" spans="1:6" x14ac:dyDescent="0.25">
      <c r="A659" s="12"/>
      <c r="C659" s="11"/>
      <c r="D659" s="14"/>
      <c r="E659" s="11"/>
      <c r="F659" s="16"/>
    </row>
    <row r="660" spans="1:6" x14ac:dyDescent="0.25">
      <c r="A660" s="12"/>
      <c r="C660" s="11"/>
      <c r="D660" s="14"/>
      <c r="E660" s="11"/>
      <c r="F660" s="16"/>
    </row>
    <row r="661" spans="1:6" x14ac:dyDescent="0.25">
      <c r="A661" s="12"/>
      <c r="C661" s="11"/>
      <c r="D661" s="14"/>
      <c r="E661" s="11"/>
      <c r="F661" s="16"/>
    </row>
    <row r="662" spans="1:6" x14ac:dyDescent="0.25">
      <c r="A662" s="12"/>
      <c r="C662" s="11"/>
      <c r="D662" s="14"/>
      <c r="E662" s="11"/>
      <c r="F662" s="16"/>
    </row>
    <row r="663" spans="1:6" x14ac:dyDescent="0.25">
      <c r="A663" s="12"/>
      <c r="C663" s="11"/>
      <c r="D663" s="14"/>
      <c r="E663" s="11"/>
      <c r="F663" s="16"/>
    </row>
    <row r="664" spans="1:6" x14ac:dyDescent="0.25">
      <c r="A664" s="12"/>
      <c r="C664" s="11"/>
      <c r="D664" s="14"/>
      <c r="E664" s="11"/>
      <c r="F664" s="16"/>
    </row>
    <row r="665" spans="1:6" x14ac:dyDescent="0.25">
      <c r="A665" s="12"/>
      <c r="C665" s="11"/>
      <c r="D665" s="14"/>
      <c r="E665" s="11"/>
      <c r="F665" s="16"/>
    </row>
    <row r="666" spans="1:6" x14ac:dyDescent="0.25">
      <c r="A666" s="12"/>
      <c r="C666" s="11"/>
      <c r="D666" s="14"/>
      <c r="E666" s="11"/>
      <c r="F666" s="16"/>
    </row>
    <row r="667" spans="1:6" x14ac:dyDescent="0.25">
      <c r="A667" s="12"/>
      <c r="C667" s="11"/>
      <c r="D667" s="14"/>
      <c r="E667" s="11"/>
      <c r="F667" s="16"/>
    </row>
    <row r="668" spans="1:6" x14ac:dyDescent="0.25">
      <c r="A668" s="12"/>
      <c r="C668" s="11"/>
      <c r="D668" s="14"/>
      <c r="E668" s="11"/>
      <c r="F668" s="16"/>
    </row>
    <row r="669" spans="1:6" x14ac:dyDescent="0.25">
      <c r="A669" s="12"/>
      <c r="C669" s="11"/>
      <c r="D669" s="14"/>
      <c r="E669" s="11"/>
      <c r="F669" s="16"/>
    </row>
    <row r="670" spans="1:6" x14ac:dyDescent="0.25">
      <c r="A670" s="12"/>
      <c r="C670" s="11"/>
      <c r="D670" s="14"/>
      <c r="E670" s="11"/>
      <c r="F670" s="16"/>
    </row>
    <row r="671" spans="1:6" x14ac:dyDescent="0.25">
      <c r="A671" s="12"/>
      <c r="C671" s="11"/>
      <c r="D671" s="14"/>
      <c r="E671" s="11"/>
      <c r="F671" s="16"/>
    </row>
    <row r="672" spans="1:6" x14ac:dyDescent="0.25">
      <c r="A672" s="12"/>
      <c r="C672" s="11"/>
      <c r="D672" s="14"/>
      <c r="E672" s="11"/>
      <c r="F672" s="16"/>
    </row>
    <row r="673" spans="1:6" x14ac:dyDescent="0.25">
      <c r="A673" s="12"/>
      <c r="C673" s="11"/>
      <c r="D673" s="14"/>
      <c r="E673" s="11"/>
      <c r="F673" s="16"/>
    </row>
    <row r="674" spans="1:6" x14ac:dyDescent="0.25">
      <c r="A674" s="12"/>
      <c r="C674" s="11"/>
      <c r="D674" s="14"/>
      <c r="E674" s="11"/>
      <c r="F674" s="16"/>
    </row>
    <row r="675" spans="1:6" x14ac:dyDescent="0.25">
      <c r="A675" s="12"/>
      <c r="C675" s="11"/>
      <c r="D675" s="14"/>
      <c r="E675" s="11"/>
      <c r="F675" s="16"/>
    </row>
    <row r="676" spans="1:6" x14ac:dyDescent="0.25">
      <c r="A676" s="12"/>
      <c r="C676" s="11"/>
      <c r="D676" s="14"/>
      <c r="E676" s="11"/>
      <c r="F676" s="16"/>
    </row>
    <row r="677" spans="1:6" x14ac:dyDescent="0.25">
      <c r="A677" s="12"/>
      <c r="C677" s="11"/>
      <c r="D677" s="14"/>
      <c r="E677" s="11"/>
      <c r="F677" s="16"/>
    </row>
    <row r="678" spans="1:6" x14ac:dyDescent="0.25">
      <c r="A678" s="12"/>
      <c r="C678" s="11"/>
      <c r="D678" s="14"/>
      <c r="E678" s="11"/>
      <c r="F678" s="16"/>
    </row>
    <row r="679" spans="1:6" x14ac:dyDescent="0.25">
      <c r="A679" s="12"/>
      <c r="C679" s="11"/>
      <c r="D679" s="14"/>
      <c r="E679" s="11"/>
      <c r="F679" s="16"/>
    </row>
    <row r="680" spans="1:6" x14ac:dyDescent="0.25">
      <c r="A680" s="12"/>
      <c r="C680" s="11"/>
      <c r="D680" s="14"/>
      <c r="E680" s="11"/>
      <c r="F680" s="16"/>
    </row>
    <row r="681" spans="1:6" x14ac:dyDescent="0.25">
      <c r="A681" s="12"/>
      <c r="C681" s="11"/>
      <c r="D681" s="14"/>
      <c r="E681" s="11"/>
      <c r="F681" s="16"/>
    </row>
    <row r="682" spans="1:6" x14ac:dyDescent="0.25">
      <c r="A682" s="12"/>
      <c r="C682" s="11"/>
      <c r="D682" s="14"/>
      <c r="E682" s="11"/>
      <c r="F682" s="16"/>
    </row>
    <row r="683" spans="1:6" x14ac:dyDescent="0.25">
      <c r="A683" s="12"/>
      <c r="C683" s="11"/>
      <c r="D683" s="14"/>
      <c r="E683" s="11"/>
      <c r="F683" s="16"/>
    </row>
    <row r="684" spans="1:6" x14ac:dyDescent="0.25">
      <c r="A684" s="12"/>
      <c r="C684" s="11"/>
      <c r="D684" s="14"/>
      <c r="E684" s="11"/>
      <c r="F684" s="16"/>
    </row>
    <row r="685" spans="1:6" x14ac:dyDescent="0.25">
      <c r="A685" s="12"/>
      <c r="C685" s="11"/>
      <c r="D685" s="14"/>
      <c r="E685" s="11"/>
      <c r="F685" s="16"/>
    </row>
    <row r="686" spans="1:6" x14ac:dyDescent="0.25">
      <c r="A686" s="12"/>
      <c r="C686" s="11"/>
      <c r="D686" s="14"/>
      <c r="E686" s="11"/>
      <c r="F686" s="16"/>
    </row>
    <row r="687" spans="1:6" x14ac:dyDescent="0.25">
      <c r="A687" s="12"/>
      <c r="C687" s="11"/>
      <c r="D687" s="14"/>
      <c r="E687" s="11"/>
      <c r="F687" s="16"/>
    </row>
    <row r="688" spans="1:6" x14ac:dyDescent="0.25">
      <c r="A688" s="12"/>
      <c r="C688" s="11"/>
      <c r="D688" s="14"/>
      <c r="E688" s="11"/>
      <c r="F688" s="16"/>
    </row>
    <row r="689" spans="1:6" x14ac:dyDescent="0.25">
      <c r="A689" s="12"/>
      <c r="C689" s="11"/>
      <c r="D689" s="14"/>
      <c r="E689" s="11"/>
      <c r="F689" s="16"/>
    </row>
    <row r="690" spans="1:6" x14ac:dyDescent="0.25">
      <c r="A690" s="12"/>
      <c r="C690" s="11"/>
      <c r="D690" s="14"/>
      <c r="E690" s="11"/>
      <c r="F690" s="16"/>
    </row>
    <row r="691" spans="1:6" x14ac:dyDescent="0.25">
      <c r="A691" s="12"/>
      <c r="C691" s="11"/>
      <c r="D691" s="14"/>
      <c r="E691" s="11"/>
      <c r="F691" s="16"/>
    </row>
    <row r="692" spans="1:6" x14ac:dyDescent="0.25">
      <c r="A692" s="12"/>
      <c r="C692" s="11"/>
      <c r="D692" s="14"/>
      <c r="E692" s="11"/>
      <c r="F692" s="16"/>
    </row>
    <row r="693" spans="1:6" x14ac:dyDescent="0.25">
      <c r="A693" s="12"/>
      <c r="C693" s="11"/>
      <c r="D693" s="14"/>
      <c r="E693" s="11"/>
      <c r="F693" s="16"/>
    </row>
    <row r="694" spans="1:6" x14ac:dyDescent="0.25">
      <c r="A694" s="12"/>
      <c r="C694" s="11"/>
      <c r="D694" s="14"/>
      <c r="E694" s="11"/>
      <c r="F694" s="16"/>
    </row>
    <row r="695" spans="1:6" x14ac:dyDescent="0.25">
      <c r="A695" s="12"/>
      <c r="C695" s="11"/>
      <c r="D695" s="14"/>
      <c r="E695" s="11"/>
      <c r="F695" s="16"/>
    </row>
    <row r="696" spans="1:6" x14ac:dyDescent="0.25">
      <c r="A696" s="12"/>
      <c r="C696" s="11"/>
      <c r="D696" s="14"/>
      <c r="E696" s="11"/>
      <c r="F696" s="16"/>
    </row>
    <row r="697" spans="1:6" x14ac:dyDescent="0.25">
      <c r="A697" s="12"/>
      <c r="C697" s="11"/>
      <c r="D697" s="14"/>
      <c r="E697" s="11"/>
      <c r="F697" s="16"/>
    </row>
    <row r="698" spans="1:6" x14ac:dyDescent="0.25">
      <c r="A698" s="12"/>
      <c r="C698" s="11"/>
      <c r="D698" s="14"/>
      <c r="E698" s="11"/>
      <c r="F698" s="16"/>
    </row>
    <row r="699" spans="1:6" x14ac:dyDescent="0.25">
      <c r="A699" s="12"/>
      <c r="C699" s="11"/>
      <c r="D699" s="14"/>
      <c r="E699" s="11"/>
      <c r="F699" s="16"/>
    </row>
    <row r="700" spans="1:6" x14ac:dyDescent="0.25">
      <c r="A700" s="12"/>
      <c r="C700" s="11"/>
      <c r="D700" s="14"/>
      <c r="E700" s="11"/>
      <c r="F700" s="16"/>
    </row>
    <row r="701" spans="1:6" x14ac:dyDescent="0.25">
      <c r="D70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bank_xml_working_practice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SERVER</cp:lastModifiedBy>
  <cp:revision>0</cp:revision>
  <dcterms:created xsi:type="dcterms:W3CDTF">2026-08-20T12:44:08Z</dcterms:created>
  <dcterms:modified xsi:type="dcterms:W3CDTF">2026-09-27T09:41:33Z</dcterms:modified>
  <dc:language>en-US</dc:language>
</cp:coreProperties>
</file>