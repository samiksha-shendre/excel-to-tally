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9FCC94A-141D-4F96-90CC-6BC2A1EC32BF}" xr6:coauthVersionLast="47" xr6:coauthVersionMax="47" xr10:uidLastSave="{00000000-0000-0000-0000-000000000000}"/>
  <bookViews>
    <workbookView xWindow="-113" yWindow="-113" windowWidth="24267" windowHeight="13023" activeTab="3" xr2:uid="{00000000-000D-0000-FFFF-FFFF00000000}"/>
  </bookViews>
  <sheets>
    <sheet name="APRIL 2022 ONWARDS" sheetId="2" r:id="rId1"/>
    <sheet name="Sheet1" sheetId="3" r:id="rId2"/>
    <sheet name="print" sheetId="4" r:id="rId3"/>
    <sheet name="MESSAGES" sheetId="5" r:id="rId4"/>
  </sheets>
  <definedNames>
    <definedName name="_xlnm._FilterDatabase" localSheetId="0" hidden="1">'APRIL 2022 ONWARDS'!$A$1:$O$40</definedName>
    <definedName name="_xlnm._FilterDatabase" localSheetId="2" hidden="1">print!$A$2:$D$20</definedName>
    <definedName name="_xlnm.Print_Area" localSheetId="2">print!$A$1:$F$50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5" l="1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l="1"/>
  <c r="B29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B37" i="2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0" i="4" l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9" i="4" s="1"/>
</calcChain>
</file>

<file path=xl/sharedStrings.xml><?xml version="1.0" encoding="utf-8"?>
<sst xmlns="http://schemas.openxmlformats.org/spreadsheetml/2006/main" count="554" uniqueCount="285">
  <si>
    <t>S N</t>
  </si>
  <si>
    <t>LEGAL NAME</t>
  </si>
  <si>
    <t>TRADE NAME</t>
  </si>
  <si>
    <t>REG. DATE</t>
  </si>
  <si>
    <t>SCHEME</t>
  </si>
  <si>
    <t>USER ID</t>
  </si>
  <si>
    <t>P/W</t>
  </si>
  <si>
    <t>MAIL ID</t>
  </si>
  <si>
    <t>A K ASSOCIATES</t>
  </si>
  <si>
    <t>REGULAR</t>
  </si>
  <si>
    <t>ak_200117</t>
  </si>
  <si>
    <t>*#Patel04</t>
  </si>
  <si>
    <t>akassociates2001@gmail.com</t>
  </si>
  <si>
    <t>@ABHFA4226G</t>
  </si>
  <si>
    <t xml:space="preserve"> </t>
  </si>
  <si>
    <t>GOKUL CONSTRUCTION</t>
  </si>
  <si>
    <t>gokul_14</t>
  </si>
  <si>
    <t>gokulconst2014@gmail.com</t>
  </si>
  <si>
    <t>@AANFG6311M</t>
  </si>
  <si>
    <t>R K CONSTRUCTION</t>
  </si>
  <si>
    <t>rkcngp2014</t>
  </si>
  <si>
    <t>*#Patel02</t>
  </si>
  <si>
    <t>rkcngp@gmail.com</t>
  </si>
  <si>
    <t>@rkconstruction</t>
  </si>
  <si>
    <t>S M P ENTERPRISES</t>
  </si>
  <si>
    <t>smpenterprises_</t>
  </si>
  <si>
    <t>smpenterprisesngp@gmail.com</t>
  </si>
  <si>
    <t>ADJFS4897B</t>
  </si>
  <si>
    <t>NARESH HANSRAJBHAI SAWALIYA</t>
  </si>
  <si>
    <t>SHAKTI CONSTRUCTION</t>
  </si>
  <si>
    <t>ata.007shakti</t>
  </si>
  <si>
    <t>*#Patel05</t>
  </si>
  <si>
    <t>nareshsavaliya321@gmail.com</t>
  </si>
  <si>
    <t>Naresh321</t>
  </si>
  <si>
    <t>SHREEJI ENTERPRISES</t>
  </si>
  <si>
    <t>shreejient2014</t>
  </si>
  <si>
    <t>shreeji14ngp@gmail.com</t>
  </si>
  <si>
    <t>Hemal@123</t>
  </si>
  <si>
    <t>LOTUS INFRASTRUCTURE</t>
  </si>
  <si>
    <t>LOTUS_INFRA</t>
  </si>
  <si>
    <t>*#Patel03</t>
  </si>
  <si>
    <t>8888780498 - RAJESH MAMA</t>
  </si>
  <si>
    <t>WEMAKS BUILDCON PVT. LTD.</t>
  </si>
  <si>
    <t>wemaks09</t>
  </si>
  <si>
    <t>*#Patel08</t>
  </si>
  <si>
    <t>wemaks09@gmail.com</t>
  </si>
  <si>
    <t>AACCW1862B</t>
  </si>
  <si>
    <t>SHREE KHODAL CONSTRUCTIONS</t>
  </si>
  <si>
    <t>KHODAL0218</t>
  </si>
  <si>
    <t>shreekhodalconstructions@gmail.com</t>
  </si>
  <si>
    <t>*#Patel07</t>
  </si>
  <si>
    <t>DWARKESH INFRASTRUCTURE</t>
  </si>
  <si>
    <t>DWARKESHINFRA</t>
  </si>
  <si>
    <t>*#Hemal01</t>
  </si>
  <si>
    <t>dwarkeshinfra2707@gmail.com</t>
  </si>
  <si>
    <t>SAMRUDDHI CONSTRUCTION COMPANY</t>
  </si>
  <si>
    <t>SAMRUDDHI CONSTRUCTION CO.</t>
  </si>
  <si>
    <t>samruddhi_c18</t>
  </si>
  <si>
    <t>*#Patel01</t>
  </si>
  <si>
    <t>samruddhiconstruction18@gmail.com</t>
  </si>
  <si>
    <t xml:space="preserve">*#PATEL07   </t>
  </si>
  <si>
    <t>HARDIK PATEL</t>
  </si>
  <si>
    <t>hrp_140591</t>
  </si>
  <si>
    <t>9574495536 (hardik patel)</t>
  </si>
  <si>
    <t>AMOL PATEL</t>
  </si>
  <si>
    <t>AMOL ENGINEERING WORKS</t>
  </si>
  <si>
    <t>Amolpatel_1</t>
  </si>
  <si>
    <t>9226579732 (AMOL PATEL)</t>
  </si>
  <si>
    <t>SHAILESH GUNA</t>
  </si>
  <si>
    <t>RIYA ENTERPRISES</t>
  </si>
  <si>
    <t>Shailesh_guna</t>
  </si>
  <si>
    <t>9561854121 (SHAILESH GUNA)</t>
  </si>
  <si>
    <t>MAHESH SAVALIYA</t>
  </si>
  <si>
    <t>SHREEJI ALUMINIUM &amp; GLASS</t>
  </si>
  <si>
    <t>savaliya_mahesh</t>
  </si>
  <si>
    <t>maheshsavaliya79@gmail.com</t>
  </si>
  <si>
    <t>*#PATEL07</t>
  </si>
  <si>
    <t>BEEJAL INFRASTRUCTURE AND BUILCON</t>
  </si>
  <si>
    <t>BEEJAL INFRASTRUCTURE &amp; BUILCON</t>
  </si>
  <si>
    <t>BEEJAL_INFRA</t>
  </si>
  <si>
    <t>beejal.infrastructure.buildcon@gmail.com</t>
  </si>
  <si>
    <t>aaikhodal9786</t>
  </si>
  <si>
    <t>HARESH HANSRAJBHAI SAVALIYA</t>
  </si>
  <si>
    <t xml:space="preserve">HARI KRUSHNA CONSTRUCTION
</t>
  </si>
  <si>
    <t>harikrushna_con</t>
  </si>
  <si>
    <t>*#Patel06</t>
  </si>
  <si>
    <t>harikrushnaconst01@gmail.com</t>
  </si>
  <si>
    <t>SACHIN CHAWRE</t>
  </si>
  <si>
    <t xml:space="preserve">MAHALAXMI CONSTRUCTION
</t>
  </si>
  <si>
    <t>sachin_chaware</t>
  </si>
  <si>
    <t>9131438623- nitin zele</t>
  </si>
  <si>
    <t>SHUBH SALES</t>
  </si>
  <si>
    <t>SHUBHSALESNGP</t>
  </si>
  <si>
    <t>SALESSHUBHNGP@GMAIL.COM</t>
  </si>
  <si>
    <t>SHUBHSALES12022@GMAIL.COM</t>
  </si>
  <si>
    <t>TAKSHAK EVENTS PRIVATE LIMITED</t>
  </si>
  <si>
    <t>TAKSHAKNGP</t>
  </si>
  <si>
    <t>takshakeventspvtltd@gmail.com</t>
  </si>
  <si>
    <t>RENUKA RAJESH SAVALIYA</t>
  </si>
  <si>
    <t>SAVALIYA CONSTRUCTION</t>
  </si>
  <si>
    <t>SAVALIYA_CONST</t>
  </si>
  <si>
    <t>savaliyaconstruction2022@gmail.com</t>
  </si>
  <si>
    <t>ALKESH PATEL</t>
  </si>
  <si>
    <t>KHODAL ASSOCIATE</t>
  </si>
  <si>
    <t>ALKESH_20188</t>
  </si>
  <si>
    <t>patelalkesh1988@gmail.com</t>
  </si>
  <si>
    <t>SAMAJ</t>
  </si>
  <si>
    <t>Patelsamaj_123</t>
  </si>
  <si>
    <t xml:space="preserve"> spatelsamaj1@gmail.com</t>
  </si>
  <si>
    <t>Y2K GLOBAL SOLUTIONS LLP</t>
  </si>
  <si>
    <t>Y2KGLOBAL</t>
  </si>
  <si>
    <t>7620865639 (NIKUNJBHAI PATEL)</t>
  </si>
  <si>
    <t>JANVI INFRAVENTURE</t>
  </si>
  <si>
    <t>JANVI_INFRA</t>
  </si>
  <si>
    <t>8625997224 (NALIN NAKRANI)</t>
  </si>
  <si>
    <t>KANCHAN PANDIT</t>
  </si>
  <si>
    <t>K P CONSTRUCTIONS</t>
  </si>
  <si>
    <t>KPCONST_</t>
  </si>
  <si>
    <t>8007275882 (KANCHAN PANDIT)</t>
  </si>
  <si>
    <t>SHREYA CONSTRUCTION COMPANY</t>
  </si>
  <si>
    <t>SHREYA_cc</t>
  </si>
  <si>
    <t>9823052305 (RASIKBHAI DHAMELIYA)</t>
  </si>
  <si>
    <t>SHAILESH BHAI GOTI</t>
  </si>
  <si>
    <t>DWARKESH ELECTROFAB</t>
  </si>
  <si>
    <t>DWARELECTRO_23</t>
  </si>
  <si>
    <t>7798524602 (SHAILESH BHAI GOTI)</t>
  </si>
  <si>
    <t>VISHAL KATHIRIYA</t>
  </si>
  <si>
    <t>VARNI ENTERPRISES</t>
  </si>
  <si>
    <t>VARNI_ENTER01</t>
  </si>
  <si>
    <t>9723328265 (VISHAL KATHIRIYA)</t>
  </si>
  <si>
    <t>MAHADEV CONSTRUCTION</t>
  </si>
  <si>
    <t>MahadevConst_08</t>
  </si>
  <si>
    <t>9420714092 (PANKAJBHAI DHORAJIYA)</t>
  </si>
  <si>
    <t>BHAVESHBHAI DOBARIYA</t>
  </si>
  <si>
    <t>SHIVALAYA INFRASTRUCTURE</t>
  </si>
  <si>
    <t>SHIVALAYA_INFRA</t>
  </si>
  <si>
    <t>8010272698 (BHAVESH DOBARIYA_BHURA)</t>
  </si>
  <si>
    <t>EKAKSHARA INFRAVENTURE</t>
  </si>
  <si>
    <t>EKAKSHARA_INFRA</t>
  </si>
  <si>
    <t>7741968133 (JAYBHAI BAJARIYA)</t>
  </si>
  <si>
    <t>NIKUNJ PATEL KHOYANI</t>
  </si>
  <si>
    <t>BUILTECH CONSTRUCTIONS</t>
  </si>
  <si>
    <t>patelnikunj1</t>
  </si>
  <si>
    <t>7620865639 (NIKUNJ PATEL)</t>
  </si>
  <si>
    <t>SUPER ENTERPRISES</t>
  </si>
  <si>
    <t>SUPER_ENTER24</t>
  </si>
  <si>
    <t xml:space="preserve"> 7798697909 (HARSHAL BHAISWAR)</t>
  </si>
  <si>
    <t>JAYESHBHAI BHAYANI</t>
  </si>
  <si>
    <t>VRAJ CONSTRUCTION</t>
  </si>
  <si>
    <t>VRAJ_CONST.</t>
  </si>
  <si>
    <t>DALSUKHBHAI SHIROYA</t>
  </si>
  <si>
    <t>D V PATEL CONSTRUCTION</t>
  </si>
  <si>
    <t>DVpatelco1</t>
  </si>
  <si>
    <t>9423107702 (DALSUKHBHAI SHIROYA)</t>
  </si>
  <si>
    <t>NILKANTH CEMENT PRODUCT</t>
  </si>
  <si>
    <t>9825323530 (KASHYAP PATEL)</t>
  </si>
  <si>
    <t>NIKUNJ VINUBHAI BABARIYA</t>
  </si>
  <si>
    <t>SHRI SAMARTH CONSTRUCTION</t>
  </si>
  <si>
    <t>SAMARTH.CONST</t>
  </si>
  <si>
    <t>9423627795 (NIKUNJ BABARIYA)</t>
  </si>
  <si>
    <t>PRATHAM HIMMATLAL PATOLIYA</t>
  </si>
  <si>
    <t>PATOLIYA BUILDCON</t>
  </si>
  <si>
    <t>PATOLIYA.BUILD</t>
  </si>
  <si>
    <t>8766407158 (PRATHAM PATOLIYA)</t>
  </si>
  <si>
    <t>GSTR 9 FY 2021-22</t>
  </si>
  <si>
    <t>BEEJAL INFRASTRUCTURE</t>
  </si>
  <si>
    <t xml:space="preserve">BEEJAL INFRASTRUCTURE </t>
  </si>
  <si>
    <t>TAKSHAK EVENTS PVT LTD</t>
  </si>
  <si>
    <t>P S CONSTRUCTION</t>
  </si>
  <si>
    <t>PSConstr_123</t>
  </si>
  <si>
    <t>9673160966 (YOGESH PATIL)</t>
  </si>
  <si>
    <t>SUPERIOR CONSTRUCTION</t>
  </si>
  <si>
    <t>SUPErior_Const</t>
  </si>
  <si>
    <t>9890829960 (ASHWIN VAGHASIYA)</t>
  </si>
  <si>
    <t>PANKAJ DHORAJIYA</t>
  </si>
  <si>
    <t>SHIVALAY CONSTRUCTION</t>
  </si>
  <si>
    <t>SHIVALA_Const</t>
  </si>
  <si>
    <t>KEYUR SAVALIYA</t>
  </si>
  <si>
    <t>SHREEJI CONSTRUCTION</t>
  </si>
  <si>
    <t>KEYUR_savaliya</t>
  </si>
  <si>
    <t>9022281045 (KEYUR SAVALIYA)</t>
  </si>
  <si>
    <t>GSTR 1/ IFF</t>
  </si>
  <si>
    <t>GSTR 3B</t>
  </si>
  <si>
    <t>PAYMENT</t>
  </si>
  <si>
    <t>GSTR 1 / IFF : ___________________________ (RETURN FILED IN ________________________)</t>
  </si>
  <si>
    <t>*#Hemal09</t>
  </si>
  <si>
    <t>SHREYACONST (E-INVOICE REGIST.)</t>
  </si>
  <si>
    <t>*#Hemal02</t>
  </si>
  <si>
    <t>AMOL TEMBHARE</t>
  </si>
  <si>
    <t>ADIT ENTERPRISES</t>
  </si>
  <si>
    <t>ADIT_amol</t>
  </si>
  <si>
    <t>BEEJAL INFRASTRUCTURE &amp; BUILDCON</t>
  </si>
  <si>
    <t>COMPOSITION</t>
  </si>
  <si>
    <t>RBCreator</t>
  </si>
  <si>
    <t>9325224009 (HITESH RAMANI)</t>
  </si>
  <si>
    <t>HITESH RAMANI</t>
  </si>
  <si>
    <t>R B CREATOR</t>
  </si>
  <si>
    <t>PARTH_Infra26</t>
  </si>
  <si>
    <t>PARTH INFRATECH</t>
  </si>
  <si>
    <t>8999527092 (DHRUV DHORAJIYA)</t>
  </si>
  <si>
    <t>SWASTIK INFRA</t>
  </si>
  <si>
    <t>SWASTIK_INFRA26</t>
  </si>
  <si>
    <t>9970398966 (JATIN BAJARIYA)</t>
  </si>
  <si>
    <t>14A</t>
  </si>
  <si>
    <t>ADIT ENTERPRISES (AMOL TEMBHARE)</t>
  </si>
  <si>
    <t>R B CREATOR (HITESH RAMANI)</t>
  </si>
  <si>
    <t>SAMAJ (SAURASHTRA PATEL SAMAJ)</t>
  </si>
  <si>
    <t>DWARKESH ELECTROFAB (SHAILESH GOTI)</t>
  </si>
  <si>
    <t>VARNI ENTERPRISES (VISHAL KATHERIYA)</t>
  </si>
  <si>
    <t>SHIVALAYA INFRASTRUCTURE (BHAVESH DOBARIYA)</t>
  </si>
  <si>
    <t>VRAJ CONSTRUCTION (JAYESH BHAYANI)</t>
  </si>
  <si>
    <t>D V PATEL CONSTRUCTION (DALSUKH SHIROYA)</t>
  </si>
  <si>
    <t>SHRI SAMARTH CONSTRUCTION (NIKUNJ BABARIYA)</t>
  </si>
  <si>
    <t>PATOLIYA BUILDCON (PRATHAM PATOLIYA)</t>
  </si>
  <si>
    <t>SHIVALAY CONSTRUCTION (PANKAJ DHORAJIYA)</t>
  </si>
  <si>
    <t>SHREEJI CONSTRUCTION (KEYUR SAVALIYA)</t>
  </si>
  <si>
    <t>AMOL ENGINEERING WORKS (AMOL PATEL)</t>
  </si>
  <si>
    <t>RIYA ENTERPRISES (SHAILESH GUNA)</t>
  </si>
  <si>
    <t>HARI KRUSHNA CONSTRUCTION (HARESH SAVALIYA)</t>
  </si>
  <si>
    <t>SAVALIYA CONSTRUCTION (RENUKA SAVALIYA)</t>
  </si>
  <si>
    <t>KHODAL ASSOCIATE (ALKESH PATEL)</t>
  </si>
  <si>
    <t>JANVI INFRAVENTURE (DAKSHA NAKRANI)</t>
  </si>
  <si>
    <t>BUILTECH CONSTRUCTIONS (NIKUNJ PATEL)</t>
  </si>
  <si>
    <t>06-06-25</t>
  </si>
  <si>
    <t>27-06-25</t>
  </si>
  <si>
    <t>26-09-25</t>
  </si>
  <si>
    <t>29-09-25</t>
  </si>
  <si>
    <t>30-09-25</t>
  </si>
  <si>
    <t>01-11-25</t>
  </si>
  <si>
    <t>05-01-26</t>
  </si>
  <si>
    <t>06-02-26</t>
  </si>
  <si>
    <t>10-02-26</t>
  </si>
  <si>
    <t>KASHYAP.NILKANT</t>
  </si>
  <si>
    <t>*#Hemal6</t>
  </si>
  <si>
    <t>DAKSHVIL_EXPORT</t>
  </si>
  <si>
    <t>DAKSHVIL EXPORTS PRIVATE LIMITED</t>
  </si>
  <si>
    <t>8320082850 (FENIL CHODAVADIYA)</t>
  </si>
  <si>
    <t>ALDOOR_SYSTEM</t>
  </si>
  <si>
    <t>HIREN RAMESHBHAI GAJERA</t>
  </si>
  <si>
    <t>ALDOOR</t>
  </si>
  <si>
    <t>9099028686 (HIRENBHAI GAJERA)</t>
  </si>
  <si>
    <t>ALDOOR (HIRENBHAI GAJERA)</t>
  </si>
  <si>
    <t>COMPOSITION DEALER CMP 08 : ___________________________ (RETURN FILED IN ________________________)</t>
  </si>
  <si>
    <t>SHAKTI CONSTRUCTION (NARESH SAVALIYA)</t>
  </si>
  <si>
    <t>*@Patel02</t>
  </si>
  <si>
    <t>SHREE HARI CONSTRUCTION COMPANY</t>
  </si>
  <si>
    <t>shreehari_con01</t>
  </si>
  <si>
    <t>9422125927 (GHELABHAI BABARIYA)</t>
  </si>
  <si>
    <t>*#Hemal10</t>
  </si>
  <si>
    <t>*#Hemal08</t>
  </si>
  <si>
    <t>#Mclaren99</t>
  </si>
  <si>
    <t>*#Hemal03</t>
  </si>
  <si>
    <t>*@Patel03</t>
  </si>
  <si>
    <t>GST</t>
  </si>
  <si>
    <t>LOGIN ID</t>
  </si>
  <si>
    <t>PASSWORD</t>
  </si>
  <si>
    <t>INCOME TAX</t>
  </si>
  <si>
    <t xml:space="preserve">AAXFB1785G </t>
  </si>
  <si>
    <t>@AAXFB1785g</t>
  </si>
  <si>
    <t>*#Hemal07</t>
  </si>
  <si>
    <t>*#Hemal05</t>
  </si>
  <si>
    <t>*#Samaj06</t>
  </si>
  <si>
    <t>*#Swastik01</t>
  </si>
  <si>
    <t>9552703482 &amp; 9404078279 (JAYESHBHAI BHAYANI)</t>
  </si>
  <si>
    <t>NEELAM_KUMAR01</t>
  </si>
  <si>
    <t>NEELAMKUMAR HEMRAJ MESHRAM</t>
  </si>
  <si>
    <t>NEELAMKUMAR MESHRAM</t>
  </si>
  <si>
    <t>9921548572 (NEELAM KUMAR MESHRAM)</t>
  </si>
  <si>
    <t>NEELAM KUMAR MESHRAM</t>
  </si>
  <si>
    <t>9922895240 (AMOL TEMBHARE) OTP</t>
  </si>
  <si>
    <t>9766546604 (ADIT GST WORKING)</t>
  </si>
  <si>
    <t>VIPUL OTP NO. 9373647774</t>
  </si>
  <si>
    <t>*#Hemal04</t>
  </si>
  <si>
    <t>*#Skc1236</t>
  </si>
  <si>
    <t>SHAKTI CONSTRUCTIONS</t>
  </si>
  <si>
    <t>NILKANTH CEMENT PRODUCTS</t>
  </si>
  <si>
    <t>HARI KRUSHNA CONSTRUCTION</t>
  </si>
  <si>
    <t>KHODAL ASSOCIATES</t>
  </si>
  <si>
    <t>YEAR</t>
  </si>
  <si>
    <t>AUGUST</t>
  </si>
  <si>
    <t>LAST DATE FOR MONTHLY RETURNS</t>
  </si>
  <si>
    <t>LAST DATE FOR QUARTERLY RETURNS</t>
  </si>
  <si>
    <t>BEEJAL INFRASTRUCTURE AND BUILDCON</t>
  </si>
  <si>
    <t xml:space="preserve">INVOICES REQUIRED FOR THE MONTH OF </t>
  </si>
  <si>
    <t>CURRENT MONTH IN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</si>
</sst>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Bookman Old Style"/>
      <family val="1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1" applyFont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14" fontId="3" fillId="4" borderId="2" xfId="0" applyNumberFormat="1" applyFont="1" applyFill="1" applyBorder="1" applyAlignment="1">
      <alignment horizontal="center" vertical="center"/>
    </xf>
    <xf numFmtId="0" fontId="5" fillId="0" borderId="2" xfId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1" applyAlignment="1" applyProtection="1">
      <alignment vertical="center"/>
    </xf>
    <xf numFmtId="0" fontId="6" fillId="0" borderId="2" xfId="1" applyFont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1" applyFont="1" applyAlignment="1" applyProtection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" fontId="3" fillId="0" borderId="2" xfId="0" applyNumberFormat="1" applyFont="1" applyFill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/>
    <xf numFmtId="0" fontId="5" fillId="0" borderId="0" xfId="1" applyAlignment="1" applyProtection="1"/>
    <xf numFmtId="9" fontId="0" fillId="0" borderId="0" xfId="0" quotePrefix="1" applyNumberFormat="1"/>
    <xf numFmtId="0" fontId="0" fillId="0" borderId="2" xfId="0" applyBorder="1"/>
    <xf numFmtId="0" fontId="0" fillId="4" borderId="2" xfId="0" applyFill="1" applyBorder="1"/>
    <xf numFmtId="1" fontId="0" fillId="4" borderId="2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ta@123ullu" TargetMode="External"/><Relationship Id="rId18" Type="http://schemas.openxmlformats.org/officeDocument/2006/relationships/hyperlink" Target="mailto:SALESSHUBHNGP@GMAIL.COM" TargetMode="External"/><Relationship Id="rId26" Type="http://schemas.openxmlformats.org/officeDocument/2006/relationships/hyperlink" Target="mailto:*@Patel02" TargetMode="External"/><Relationship Id="rId3" Type="http://schemas.openxmlformats.org/officeDocument/2006/relationships/hyperlink" Target="mailto:gokulconst2014@gmail.com" TargetMode="External"/><Relationship Id="rId21" Type="http://schemas.openxmlformats.org/officeDocument/2006/relationships/hyperlink" Target="mailto:patelalkesh1988@gmail.com" TargetMode="External"/><Relationship Id="rId7" Type="http://schemas.openxmlformats.org/officeDocument/2006/relationships/hyperlink" Target="mailto:wemaks09@gmail.com" TargetMode="External"/><Relationship Id="rId12" Type="http://schemas.openxmlformats.org/officeDocument/2006/relationships/hyperlink" Target="mailto:Mclaren@8" TargetMode="External"/><Relationship Id="rId17" Type="http://schemas.openxmlformats.org/officeDocument/2006/relationships/hyperlink" Target="mailto:harikrushnaconst01@gmail.com" TargetMode="External"/><Relationship Id="rId25" Type="http://schemas.openxmlformats.org/officeDocument/2006/relationships/hyperlink" Target="mailto:Hemal@01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akassociates2001@gmail.com" TargetMode="External"/><Relationship Id="rId16" Type="http://schemas.openxmlformats.org/officeDocument/2006/relationships/hyperlink" Target="mailto:beejal.infrastructure.buildcon@gmail.com" TargetMode="External"/><Relationship Id="rId20" Type="http://schemas.openxmlformats.org/officeDocument/2006/relationships/hyperlink" Target="mailto:nalinnakrani13@gmail.com" TargetMode="External"/><Relationship Id="rId29" Type="http://schemas.openxmlformats.org/officeDocument/2006/relationships/hyperlink" Target="mailto:Hemal@01" TargetMode="External"/><Relationship Id="rId1" Type="http://schemas.openxmlformats.org/officeDocument/2006/relationships/hyperlink" Target="mailto:rkcngp@gmail.com" TargetMode="External"/><Relationship Id="rId6" Type="http://schemas.openxmlformats.org/officeDocument/2006/relationships/hyperlink" Target="mailto:Hemal@123" TargetMode="External"/><Relationship Id="rId11" Type="http://schemas.openxmlformats.org/officeDocument/2006/relationships/hyperlink" Target="mailto:samruddhiconstruction18@gmail.com" TargetMode="External"/><Relationship Id="rId24" Type="http://schemas.openxmlformats.org/officeDocument/2006/relationships/hyperlink" Target="mailto:takshakeventspvtltd@gmail.com" TargetMode="External"/><Relationship Id="rId32" Type="http://schemas.openxmlformats.org/officeDocument/2006/relationships/hyperlink" Target="mailto:*@Patel02" TargetMode="External"/><Relationship Id="rId5" Type="http://schemas.openxmlformats.org/officeDocument/2006/relationships/hyperlink" Target="mailto:shreeji14ngp@gmail.com" TargetMode="External"/><Relationship Id="rId15" Type="http://schemas.openxmlformats.org/officeDocument/2006/relationships/hyperlink" Target="mailto:dwarkeshinfra2707@gmail.com" TargetMode="External"/><Relationship Id="rId23" Type="http://schemas.openxmlformats.org/officeDocument/2006/relationships/hyperlink" Target="mailto:maheshsavaliya79@gmail.com" TargetMode="External"/><Relationship Id="rId28" Type="http://schemas.openxmlformats.org/officeDocument/2006/relationships/hyperlink" Target="mailto:Hemal@01" TargetMode="External"/><Relationship Id="rId10" Type="http://schemas.openxmlformats.org/officeDocument/2006/relationships/hyperlink" Target="mailto:shreekhodalconstructions@gmail.com" TargetMode="External"/><Relationship Id="rId19" Type="http://schemas.openxmlformats.org/officeDocument/2006/relationships/hyperlink" Target="mailto:savaliyaconstruction2022@gmail.com" TargetMode="External"/><Relationship Id="rId31" Type="http://schemas.openxmlformats.org/officeDocument/2006/relationships/hyperlink" Target="mailto:Hemal@01" TargetMode="External"/><Relationship Id="rId4" Type="http://schemas.openxmlformats.org/officeDocument/2006/relationships/hyperlink" Target="mailto:smpenterprisesngp@gmail.com" TargetMode="External"/><Relationship Id="rId9" Type="http://schemas.openxmlformats.org/officeDocument/2006/relationships/hyperlink" Target="mailto:Ata@123ullu" TargetMode="External"/><Relationship Id="rId14" Type="http://schemas.openxmlformats.org/officeDocument/2006/relationships/hyperlink" Target="mailto:Ata@123ullu" TargetMode="External"/><Relationship Id="rId22" Type="http://schemas.openxmlformats.org/officeDocument/2006/relationships/hyperlink" Target="mailto:SHUBHSALES12022@GMAIL.COM" TargetMode="External"/><Relationship Id="rId27" Type="http://schemas.openxmlformats.org/officeDocument/2006/relationships/hyperlink" Target="mailto:*@Patel03" TargetMode="External"/><Relationship Id="rId30" Type="http://schemas.openxmlformats.org/officeDocument/2006/relationships/hyperlink" Target="mailto:Hemal@01" TargetMode="External"/><Relationship Id="rId8" Type="http://schemas.openxmlformats.org/officeDocument/2006/relationships/hyperlink" Target="mailto:nareshsavaliya32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2"/>
  <sheetViews>
    <sheetView topLeftCell="B1" zoomScaleNormal="100" workbookViewId="0">
      <selection activeCell="D45" sqref="D45"/>
    </sheetView>
  </sheetViews>
  <sheetFormatPr defaultColWidth="9.109375" defaultRowHeight="17.25" customHeight="1"/>
  <cols>
    <col min="1" max="1" width="1.33203125" style="9" customWidth="1"/>
    <col min="2" max="2" width="3.88671875" style="10" customWidth="1"/>
    <col min="3" max="3" width="37" style="9" customWidth="1"/>
    <col min="4" max="4" width="36" style="9" bestFit="1" customWidth="1"/>
    <col min="5" max="5" width="13" style="10" customWidth="1"/>
    <col min="6" max="6" width="15.33203125" style="10" customWidth="1"/>
    <col min="7" max="7" width="18.33203125" style="10" customWidth="1"/>
    <col min="8" max="8" width="16.109375" style="10" customWidth="1"/>
    <col min="9" max="9" width="43.6640625" style="10" customWidth="1"/>
    <col min="10" max="10" width="15.6640625" style="10" customWidth="1"/>
    <col min="11" max="11" width="32.6640625" style="9" bestFit="1" customWidth="1"/>
    <col min="12" max="12" width="9.5546875" style="9" customWidth="1"/>
    <col min="13" max="13" width="9.109375" style="9"/>
    <col min="14" max="14" width="16" style="10" customWidth="1"/>
    <col min="15" max="15" width="11.109375" style="10" customWidth="1"/>
    <col min="16" max="16384" width="9.109375" style="9"/>
  </cols>
  <sheetData>
    <row r="1" spans="1:15" s="8" customFormat="1" ht="17.25" customHeight="1">
      <c r="B1" s="2" t="s">
        <v>0</v>
      </c>
      <c r="C1" s="11" t="s">
        <v>1</v>
      </c>
      <c r="D1" s="1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6</v>
      </c>
      <c r="N1" s="21"/>
      <c r="O1" s="21"/>
    </row>
    <row r="2" spans="1:15" ht="17.25" customHeight="1">
      <c r="B2" s="3">
        <v>1</v>
      </c>
      <c r="C2" s="4" t="s">
        <v>8</v>
      </c>
      <c r="D2" s="4" t="s">
        <v>8</v>
      </c>
      <c r="E2" s="12">
        <v>42917</v>
      </c>
      <c r="F2" s="13" t="s">
        <v>9</v>
      </c>
      <c r="G2" s="13" t="s">
        <v>10</v>
      </c>
      <c r="H2" s="13" t="s">
        <v>53</v>
      </c>
      <c r="I2" s="20" t="s">
        <v>12</v>
      </c>
      <c r="J2" s="13" t="s">
        <v>13</v>
      </c>
    </row>
    <row r="3" spans="1:15" ht="17.25" customHeight="1">
      <c r="A3" s="9" t="s">
        <v>14</v>
      </c>
      <c r="B3" s="3">
        <f>+B2+1</f>
        <v>2</v>
      </c>
      <c r="C3" s="4" t="s">
        <v>15</v>
      </c>
      <c r="D3" s="4" t="s">
        <v>15</v>
      </c>
      <c r="E3" s="12">
        <v>42917</v>
      </c>
      <c r="F3" s="13" t="s">
        <v>9</v>
      </c>
      <c r="G3" s="13" t="s">
        <v>16</v>
      </c>
      <c r="H3" s="13" t="s">
        <v>260</v>
      </c>
      <c r="I3" s="20" t="s">
        <v>17</v>
      </c>
      <c r="J3" s="13" t="s">
        <v>18</v>
      </c>
    </row>
    <row r="4" spans="1:15" ht="17.25" customHeight="1">
      <c r="B4" s="3">
        <f>+B3+1</f>
        <v>3</v>
      </c>
      <c r="C4" s="5" t="s">
        <v>19</v>
      </c>
      <c r="D4" s="5" t="s">
        <v>19</v>
      </c>
      <c r="E4" s="12">
        <v>42917</v>
      </c>
      <c r="F4" s="13" t="s">
        <v>9</v>
      </c>
      <c r="G4" s="13" t="s">
        <v>20</v>
      </c>
      <c r="H4" s="13" t="s">
        <v>260</v>
      </c>
      <c r="I4" s="20" t="s">
        <v>22</v>
      </c>
      <c r="J4" s="13" t="s">
        <v>23</v>
      </c>
    </row>
    <row r="5" spans="1:15" ht="17.25" customHeight="1">
      <c r="B5" s="3">
        <f>+B4+1</f>
        <v>4</v>
      </c>
      <c r="C5" s="5" t="s">
        <v>24</v>
      </c>
      <c r="D5" s="5" t="s">
        <v>24</v>
      </c>
      <c r="E5" s="12">
        <v>42917</v>
      </c>
      <c r="F5" s="13" t="s">
        <v>9</v>
      </c>
      <c r="G5" s="13" t="s">
        <v>25</v>
      </c>
      <c r="H5" s="14" t="s">
        <v>85</v>
      </c>
      <c r="I5" s="20" t="s">
        <v>26</v>
      </c>
      <c r="J5" s="13" t="s">
        <v>27</v>
      </c>
    </row>
    <row r="6" spans="1:15" ht="17.25" customHeight="1">
      <c r="B6" s="3">
        <f t="shared" ref="B6:B30" si="0">+B5+1</f>
        <v>5</v>
      </c>
      <c r="C6" s="5" t="s">
        <v>28</v>
      </c>
      <c r="D6" s="5" t="s">
        <v>29</v>
      </c>
      <c r="E6" s="12">
        <v>42917</v>
      </c>
      <c r="F6" s="13" t="s">
        <v>9</v>
      </c>
      <c r="G6" s="15" t="s">
        <v>30</v>
      </c>
      <c r="H6" s="14" t="s">
        <v>50</v>
      </c>
      <c r="I6" s="20" t="s">
        <v>32</v>
      </c>
      <c r="J6" s="13" t="s">
        <v>33</v>
      </c>
    </row>
    <row r="7" spans="1:15" ht="17.25" customHeight="1">
      <c r="B7" s="3">
        <f t="shared" si="0"/>
        <v>6</v>
      </c>
      <c r="C7" s="5" t="s">
        <v>34</v>
      </c>
      <c r="D7" s="5" t="s">
        <v>34</v>
      </c>
      <c r="E7" s="12">
        <v>42917</v>
      </c>
      <c r="F7" s="13" t="s">
        <v>9</v>
      </c>
      <c r="G7" s="13" t="s">
        <v>35</v>
      </c>
      <c r="H7" s="14" t="s">
        <v>249</v>
      </c>
      <c r="I7" s="20" t="s">
        <v>36</v>
      </c>
      <c r="J7" s="20" t="s">
        <v>37</v>
      </c>
    </row>
    <row r="8" spans="1:15" ht="17.25" customHeight="1">
      <c r="B8" s="3">
        <f t="shared" si="0"/>
        <v>7</v>
      </c>
      <c r="C8" s="5" t="s">
        <v>38</v>
      </c>
      <c r="D8" s="4" t="s">
        <v>38</v>
      </c>
      <c r="E8" s="16">
        <v>42917</v>
      </c>
      <c r="F8" s="3" t="s">
        <v>9</v>
      </c>
      <c r="G8" s="13" t="s">
        <v>39</v>
      </c>
      <c r="H8" s="13" t="s">
        <v>31</v>
      </c>
      <c r="I8" s="13" t="s">
        <v>41</v>
      </c>
      <c r="J8" s="13"/>
    </row>
    <row r="9" spans="1:15" ht="17.25" customHeight="1">
      <c r="B9" s="17">
        <f t="shared" si="0"/>
        <v>8</v>
      </c>
      <c r="C9" s="18" t="s">
        <v>42</v>
      </c>
      <c r="D9" s="18" t="s">
        <v>42</v>
      </c>
      <c r="E9" s="19">
        <v>43242</v>
      </c>
      <c r="F9" s="17" t="s">
        <v>9</v>
      </c>
      <c r="G9" s="17" t="s">
        <v>43</v>
      </c>
      <c r="H9" s="17" t="s">
        <v>44</v>
      </c>
      <c r="I9" s="13" t="s">
        <v>45</v>
      </c>
      <c r="J9" s="13" t="s">
        <v>46</v>
      </c>
    </row>
    <row r="10" spans="1:15" ht="17.25" customHeight="1">
      <c r="B10" s="3">
        <f t="shared" si="0"/>
        <v>9</v>
      </c>
      <c r="C10" s="5" t="s">
        <v>47</v>
      </c>
      <c r="D10" s="5" t="s">
        <v>47</v>
      </c>
      <c r="E10" s="12">
        <v>43397</v>
      </c>
      <c r="F10" s="3" t="s">
        <v>9</v>
      </c>
      <c r="G10" s="13" t="s">
        <v>48</v>
      </c>
      <c r="H10" s="13" t="s">
        <v>273</v>
      </c>
      <c r="I10" s="20" t="s">
        <v>49</v>
      </c>
      <c r="J10" s="13" t="s">
        <v>50</v>
      </c>
    </row>
    <row r="11" spans="1:15" ht="17.25" customHeight="1">
      <c r="B11" s="3">
        <f t="shared" si="0"/>
        <v>10</v>
      </c>
      <c r="C11" s="5" t="s">
        <v>150</v>
      </c>
      <c r="D11" s="5" t="s">
        <v>51</v>
      </c>
      <c r="E11" s="12">
        <v>43403</v>
      </c>
      <c r="F11" s="3" t="s">
        <v>9</v>
      </c>
      <c r="G11" s="13" t="s">
        <v>52</v>
      </c>
      <c r="H11" s="3" t="s">
        <v>251</v>
      </c>
      <c r="I11" s="20" t="s">
        <v>54</v>
      </c>
      <c r="J11" s="13" t="s">
        <v>50</v>
      </c>
    </row>
    <row r="12" spans="1:15" ht="17.25" customHeight="1">
      <c r="B12" s="17">
        <f t="shared" si="0"/>
        <v>11</v>
      </c>
      <c r="C12" s="18" t="s">
        <v>55</v>
      </c>
      <c r="D12" s="18" t="s">
        <v>56</v>
      </c>
      <c r="E12" s="19">
        <v>43433</v>
      </c>
      <c r="F12" s="17" t="s">
        <v>9</v>
      </c>
      <c r="G12" s="17" t="s">
        <v>57</v>
      </c>
      <c r="H12" s="17" t="s">
        <v>58</v>
      </c>
      <c r="I12" s="20" t="s">
        <v>59</v>
      </c>
      <c r="J12" s="13" t="s">
        <v>60</v>
      </c>
    </row>
    <row r="13" spans="1:15" ht="17.25" customHeight="1">
      <c r="B13" s="3">
        <f t="shared" si="0"/>
        <v>12</v>
      </c>
      <c r="C13" s="5" t="s">
        <v>61</v>
      </c>
      <c r="D13" s="5" t="s">
        <v>61</v>
      </c>
      <c r="E13" s="12">
        <v>43293</v>
      </c>
      <c r="F13" s="3" t="s">
        <v>9</v>
      </c>
      <c r="G13" s="13" t="s">
        <v>62</v>
      </c>
      <c r="H13" s="20" t="s">
        <v>250</v>
      </c>
      <c r="I13" s="13" t="s">
        <v>63</v>
      </c>
      <c r="J13" s="13"/>
    </row>
    <row r="14" spans="1:15" ht="17.25" customHeight="1">
      <c r="B14" s="3">
        <f t="shared" si="0"/>
        <v>13</v>
      </c>
      <c r="C14" s="5" t="s">
        <v>64</v>
      </c>
      <c r="D14" s="5" t="s">
        <v>65</v>
      </c>
      <c r="E14" s="12">
        <v>43839</v>
      </c>
      <c r="F14" s="3" t="s">
        <v>9</v>
      </c>
      <c r="G14" s="13" t="s">
        <v>66</v>
      </c>
      <c r="H14" s="13" t="s">
        <v>31</v>
      </c>
      <c r="I14" s="13" t="s">
        <v>67</v>
      </c>
      <c r="J14" s="13"/>
    </row>
    <row r="15" spans="1:15" ht="17.25" customHeight="1">
      <c r="B15" s="3">
        <f t="shared" si="0"/>
        <v>14</v>
      </c>
      <c r="C15" s="5" t="s">
        <v>68</v>
      </c>
      <c r="D15" s="5" t="s">
        <v>69</v>
      </c>
      <c r="E15" s="12">
        <v>43845</v>
      </c>
      <c r="F15" s="3" t="s">
        <v>9</v>
      </c>
      <c r="G15" s="13" t="s">
        <v>70</v>
      </c>
      <c r="H15" s="13" t="s">
        <v>248</v>
      </c>
      <c r="I15" s="13" t="s">
        <v>71</v>
      </c>
      <c r="J15" s="13"/>
    </row>
    <row r="16" spans="1:15" ht="17.25" customHeight="1">
      <c r="B16" s="17">
        <f t="shared" si="0"/>
        <v>15</v>
      </c>
      <c r="C16" s="18" t="s">
        <v>72</v>
      </c>
      <c r="D16" s="18" t="s">
        <v>73</v>
      </c>
      <c r="E16" s="19">
        <v>44078</v>
      </c>
      <c r="F16" s="17" t="s">
        <v>9</v>
      </c>
      <c r="G16" s="17" t="s">
        <v>74</v>
      </c>
      <c r="H16" s="17" t="s">
        <v>44</v>
      </c>
      <c r="I16" s="20" t="s">
        <v>75</v>
      </c>
      <c r="J16" s="13" t="s">
        <v>76</v>
      </c>
    </row>
    <row r="17" spans="2:15" ht="17.25" customHeight="1">
      <c r="B17" s="3">
        <f t="shared" si="0"/>
        <v>16</v>
      </c>
      <c r="C17" s="5" t="s">
        <v>77</v>
      </c>
      <c r="D17" s="5" t="s">
        <v>78</v>
      </c>
      <c r="E17" s="12">
        <v>44195</v>
      </c>
      <c r="F17" s="3" t="s">
        <v>9</v>
      </c>
      <c r="G17" s="13" t="s">
        <v>79</v>
      </c>
      <c r="H17" s="13" t="s">
        <v>31</v>
      </c>
      <c r="I17" s="20" t="s">
        <v>80</v>
      </c>
      <c r="J17" s="13" t="s">
        <v>81</v>
      </c>
      <c r="K17" s="9" t="s">
        <v>271</v>
      </c>
    </row>
    <row r="18" spans="2:15" ht="17.25" customHeight="1">
      <c r="B18" s="3">
        <f t="shared" si="0"/>
        <v>17</v>
      </c>
      <c r="C18" s="5" t="s">
        <v>82</v>
      </c>
      <c r="D18" s="5" t="s">
        <v>83</v>
      </c>
      <c r="E18" s="12">
        <v>44216</v>
      </c>
      <c r="F18" s="3" t="s">
        <v>9</v>
      </c>
      <c r="G18" s="13" t="s">
        <v>84</v>
      </c>
      <c r="H18" s="13" t="s">
        <v>187</v>
      </c>
      <c r="I18" s="20" t="s">
        <v>86</v>
      </c>
      <c r="J18" s="13" t="s">
        <v>58</v>
      </c>
    </row>
    <row r="19" spans="2:15" ht="17.25" customHeight="1">
      <c r="B19" s="17">
        <f t="shared" si="0"/>
        <v>18</v>
      </c>
      <c r="C19" s="18" t="s">
        <v>87</v>
      </c>
      <c r="D19" s="18" t="s">
        <v>88</v>
      </c>
      <c r="E19" s="19">
        <v>44436</v>
      </c>
      <c r="F19" s="17" t="s">
        <v>9</v>
      </c>
      <c r="G19" s="17" t="s">
        <v>89</v>
      </c>
      <c r="H19" s="17" t="s">
        <v>21</v>
      </c>
      <c r="I19" s="13" t="s">
        <v>90</v>
      </c>
      <c r="J19" s="13"/>
    </row>
    <row r="20" spans="2:15" ht="17.25" customHeight="1">
      <c r="B20" s="3">
        <f t="shared" si="0"/>
        <v>19</v>
      </c>
      <c r="C20" s="5" t="s">
        <v>91</v>
      </c>
      <c r="D20" s="5" t="s">
        <v>91</v>
      </c>
      <c r="E20" s="12">
        <v>44568</v>
      </c>
      <c r="F20" s="3" t="s">
        <v>9</v>
      </c>
      <c r="G20" s="13" t="s">
        <v>92</v>
      </c>
      <c r="H20" s="13" t="s">
        <v>40</v>
      </c>
      <c r="I20" s="20" t="s">
        <v>93</v>
      </c>
      <c r="J20" s="13" t="s">
        <v>58</v>
      </c>
      <c r="K20" s="22" t="s">
        <v>94</v>
      </c>
    </row>
    <row r="21" spans="2:15" ht="17.25" customHeight="1">
      <c r="B21" s="17">
        <f t="shared" si="0"/>
        <v>20</v>
      </c>
      <c r="C21" s="18" t="s">
        <v>95</v>
      </c>
      <c r="D21" s="18" t="s">
        <v>95</v>
      </c>
      <c r="E21" s="19">
        <v>44574</v>
      </c>
      <c r="F21" s="17" t="s">
        <v>9</v>
      </c>
      <c r="G21" s="17" t="s">
        <v>96</v>
      </c>
      <c r="H21" s="17" t="s">
        <v>85</v>
      </c>
      <c r="I21" s="20" t="s">
        <v>97</v>
      </c>
      <c r="J21" s="13" t="s">
        <v>58</v>
      </c>
    </row>
    <row r="22" spans="2:15" ht="17.25" customHeight="1">
      <c r="B22" s="3">
        <f t="shared" si="0"/>
        <v>21</v>
      </c>
      <c r="C22" s="5" t="s">
        <v>98</v>
      </c>
      <c r="D22" s="5" t="s">
        <v>99</v>
      </c>
      <c r="E22" s="12">
        <v>44628</v>
      </c>
      <c r="F22" s="3" t="s">
        <v>9</v>
      </c>
      <c r="G22" s="13" t="s">
        <v>100</v>
      </c>
      <c r="H22" s="13" t="s">
        <v>21</v>
      </c>
      <c r="I22" s="20" t="s">
        <v>101</v>
      </c>
      <c r="J22" s="13" t="s">
        <v>58</v>
      </c>
    </row>
    <row r="23" spans="2:15" ht="17.25" customHeight="1">
      <c r="B23" s="3">
        <f t="shared" si="0"/>
        <v>22</v>
      </c>
      <c r="C23" s="5" t="s">
        <v>102</v>
      </c>
      <c r="D23" s="5" t="s">
        <v>103</v>
      </c>
      <c r="E23" s="12">
        <v>43405</v>
      </c>
      <c r="F23" s="3" t="s">
        <v>9</v>
      </c>
      <c r="G23" s="13" t="s">
        <v>104</v>
      </c>
      <c r="H23" s="13" t="s">
        <v>259</v>
      </c>
      <c r="I23" s="13">
        <v>9545570772</v>
      </c>
      <c r="J23" s="13"/>
      <c r="K23" s="22" t="s">
        <v>105</v>
      </c>
    </row>
    <row r="24" spans="2:15" ht="17.25" customHeight="1">
      <c r="B24" s="3">
        <f t="shared" si="0"/>
        <v>23</v>
      </c>
      <c r="C24" s="5" t="s">
        <v>106</v>
      </c>
      <c r="D24" s="5" t="s">
        <v>106</v>
      </c>
      <c r="E24" s="12">
        <v>43889</v>
      </c>
      <c r="F24" s="3" t="s">
        <v>9</v>
      </c>
      <c r="G24" s="13" t="s">
        <v>107</v>
      </c>
      <c r="H24" s="13" t="s">
        <v>261</v>
      </c>
      <c r="I24" s="13" t="s">
        <v>108</v>
      </c>
      <c r="J24" s="13">
        <v>7020695720</v>
      </c>
    </row>
    <row r="25" spans="2:15" ht="17.25" customHeight="1">
      <c r="B25" s="3">
        <f t="shared" si="0"/>
        <v>24</v>
      </c>
      <c r="C25" s="5" t="s">
        <v>109</v>
      </c>
      <c r="D25" s="5" t="s">
        <v>109</v>
      </c>
      <c r="E25" s="12">
        <v>44882</v>
      </c>
      <c r="F25" s="3" t="s">
        <v>9</v>
      </c>
      <c r="G25" s="13" t="s">
        <v>110</v>
      </c>
      <c r="H25" s="13" t="s">
        <v>259</v>
      </c>
      <c r="I25" s="13" t="s">
        <v>111</v>
      </c>
      <c r="J25" s="13"/>
    </row>
    <row r="26" spans="2:15" ht="17.25" customHeight="1">
      <c r="B26" s="3">
        <f t="shared" si="0"/>
        <v>25</v>
      </c>
      <c r="C26" s="5" t="s">
        <v>112</v>
      </c>
      <c r="D26" s="5" t="s">
        <v>112</v>
      </c>
      <c r="E26" s="12">
        <v>44908</v>
      </c>
      <c r="F26" s="3" t="s">
        <v>9</v>
      </c>
      <c r="G26" s="13" t="s">
        <v>113</v>
      </c>
      <c r="H26" s="13" t="s">
        <v>272</v>
      </c>
      <c r="I26" s="23" t="s">
        <v>114</v>
      </c>
      <c r="J26" s="13"/>
    </row>
    <row r="27" spans="2:15" ht="17.25" customHeight="1">
      <c r="B27" s="17">
        <f t="shared" si="0"/>
        <v>26</v>
      </c>
      <c r="C27" s="18" t="s">
        <v>115</v>
      </c>
      <c r="D27" s="18" t="s">
        <v>116</v>
      </c>
      <c r="E27" s="19">
        <v>44908</v>
      </c>
      <c r="F27" s="17" t="s">
        <v>9</v>
      </c>
      <c r="G27" s="17" t="s">
        <v>117</v>
      </c>
      <c r="H27" s="17" t="s">
        <v>53</v>
      </c>
      <c r="I27" s="13" t="s">
        <v>118</v>
      </c>
      <c r="J27" s="13"/>
    </row>
    <row r="28" spans="2:15" ht="17.25" customHeight="1">
      <c r="B28" s="3">
        <f t="shared" si="0"/>
        <v>27</v>
      </c>
      <c r="C28" s="5" t="s">
        <v>119</v>
      </c>
      <c r="D28" s="5" t="s">
        <v>119</v>
      </c>
      <c r="E28" s="12">
        <v>45176</v>
      </c>
      <c r="F28" s="3" t="s">
        <v>9</v>
      </c>
      <c r="G28" s="13" t="s">
        <v>120</v>
      </c>
      <c r="H28" s="13" t="s">
        <v>185</v>
      </c>
      <c r="I28" s="13" t="s">
        <v>121</v>
      </c>
      <c r="J28" s="13"/>
      <c r="K28" s="8" t="s">
        <v>186</v>
      </c>
      <c r="L28" s="24" t="s">
        <v>21</v>
      </c>
    </row>
    <row r="29" spans="2:15" ht="17.25" customHeight="1">
      <c r="B29" s="3">
        <f t="shared" si="0"/>
        <v>28</v>
      </c>
      <c r="C29" s="5" t="s">
        <v>122</v>
      </c>
      <c r="D29" s="5" t="s">
        <v>123</v>
      </c>
      <c r="E29" s="12">
        <v>45230</v>
      </c>
      <c r="F29" s="13" t="s">
        <v>9</v>
      </c>
      <c r="G29" s="13" t="s">
        <v>124</v>
      </c>
      <c r="H29" s="13" t="s">
        <v>248</v>
      </c>
      <c r="I29" s="13" t="s">
        <v>125</v>
      </c>
      <c r="J29" s="13"/>
    </row>
    <row r="30" spans="2:15" ht="17.25" customHeight="1">
      <c r="B30" s="3">
        <f t="shared" si="0"/>
        <v>29</v>
      </c>
      <c r="C30" s="5" t="s">
        <v>126</v>
      </c>
      <c r="D30" s="5" t="s">
        <v>127</v>
      </c>
      <c r="E30" s="12">
        <v>45328</v>
      </c>
      <c r="F30" s="13" t="s">
        <v>9</v>
      </c>
      <c r="G30" s="13" t="s">
        <v>128</v>
      </c>
      <c r="H30" s="13" t="s">
        <v>53</v>
      </c>
      <c r="I30" s="13" t="s">
        <v>129</v>
      </c>
      <c r="J30" s="13"/>
      <c r="O30" s="25"/>
    </row>
    <row r="31" spans="2:15" ht="17.25" customHeight="1">
      <c r="B31" s="13">
        <v>30</v>
      </c>
      <c r="C31" s="5" t="s">
        <v>130</v>
      </c>
      <c r="D31" s="5" t="s">
        <v>130</v>
      </c>
      <c r="E31" s="12">
        <v>45358</v>
      </c>
      <c r="F31" s="13" t="s">
        <v>9</v>
      </c>
      <c r="G31" s="13" t="s">
        <v>131</v>
      </c>
      <c r="H31" s="13" t="s">
        <v>260</v>
      </c>
      <c r="I31" s="13" t="s">
        <v>132</v>
      </c>
      <c r="J31" s="13"/>
    </row>
    <row r="32" spans="2:15" ht="17.25" customHeight="1">
      <c r="B32" s="13">
        <v>31</v>
      </c>
      <c r="C32" s="5" t="s">
        <v>133</v>
      </c>
      <c r="D32" s="5" t="s">
        <v>134</v>
      </c>
      <c r="E32" s="12">
        <v>45373</v>
      </c>
      <c r="F32" s="13" t="s">
        <v>9</v>
      </c>
      <c r="G32" s="13" t="s">
        <v>135</v>
      </c>
      <c r="H32" s="13" t="s">
        <v>31</v>
      </c>
      <c r="I32" s="13" t="s">
        <v>136</v>
      </c>
      <c r="J32" s="13"/>
    </row>
    <row r="33" spans="2:11" ht="17.25" customHeight="1">
      <c r="B33" s="13">
        <v>32</v>
      </c>
      <c r="C33" s="5" t="s">
        <v>137</v>
      </c>
      <c r="D33" s="5" t="s">
        <v>137</v>
      </c>
      <c r="E33" s="12">
        <v>45384</v>
      </c>
      <c r="F33" s="13" t="s">
        <v>9</v>
      </c>
      <c r="G33" s="13" t="s">
        <v>138</v>
      </c>
      <c r="H33" s="13" t="s">
        <v>31</v>
      </c>
      <c r="I33" s="13" t="s">
        <v>139</v>
      </c>
      <c r="J33" s="13"/>
    </row>
    <row r="34" spans="2:11" ht="17.25" customHeight="1">
      <c r="B34" s="13">
        <v>33</v>
      </c>
      <c r="C34" s="5" t="s">
        <v>140</v>
      </c>
      <c r="D34" s="5" t="s">
        <v>141</v>
      </c>
      <c r="E34" s="12">
        <v>42917</v>
      </c>
      <c r="F34" s="13" t="s">
        <v>9</v>
      </c>
      <c r="G34" s="13" t="s">
        <v>142</v>
      </c>
      <c r="H34" s="20" t="s">
        <v>252</v>
      </c>
      <c r="I34" s="13" t="s">
        <v>143</v>
      </c>
      <c r="J34" s="13"/>
    </row>
    <row r="35" spans="2:11" ht="17.25" customHeight="1">
      <c r="B35" s="17">
        <v>34</v>
      </c>
      <c r="C35" s="18" t="s">
        <v>144</v>
      </c>
      <c r="D35" s="18" t="s">
        <v>144</v>
      </c>
      <c r="E35" s="19">
        <v>45512</v>
      </c>
      <c r="F35" s="17" t="s">
        <v>9</v>
      </c>
      <c r="G35" s="17" t="s">
        <v>145</v>
      </c>
      <c r="H35" s="17" t="s">
        <v>58</v>
      </c>
      <c r="I35" s="13" t="s">
        <v>146</v>
      </c>
      <c r="J35" s="13"/>
    </row>
    <row r="36" spans="2:11" ht="17.25" customHeight="1">
      <c r="B36" s="13">
        <v>35</v>
      </c>
      <c r="C36" s="5" t="s">
        <v>147</v>
      </c>
      <c r="D36" s="5" t="s">
        <v>148</v>
      </c>
      <c r="E36" s="12">
        <v>45619</v>
      </c>
      <c r="F36" s="13" t="s">
        <v>9</v>
      </c>
      <c r="G36" s="13" t="s">
        <v>149</v>
      </c>
      <c r="H36" s="13" t="s">
        <v>11</v>
      </c>
      <c r="I36" s="13" t="s">
        <v>263</v>
      </c>
      <c r="J36" s="13"/>
    </row>
    <row r="37" spans="2:11" ht="17.25" customHeight="1">
      <c r="B37" s="13">
        <f>+B36+1</f>
        <v>36</v>
      </c>
      <c r="C37" s="5" t="s">
        <v>150</v>
      </c>
      <c r="D37" s="5" t="s">
        <v>151</v>
      </c>
      <c r="E37" s="12">
        <v>45684</v>
      </c>
      <c r="F37" s="13" t="s">
        <v>9</v>
      </c>
      <c r="G37" s="13" t="s">
        <v>152</v>
      </c>
      <c r="H37" s="13" t="s">
        <v>11</v>
      </c>
      <c r="I37" s="13" t="s">
        <v>153</v>
      </c>
      <c r="J37" s="13"/>
    </row>
    <row r="38" spans="2:11" ht="17.25" customHeight="1">
      <c r="B38" s="13">
        <f>+B37+1</f>
        <v>37</v>
      </c>
      <c r="C38" s="5" t="s">
        <v>154</v>
      </c>
      <c r="D38" s="5" t="s">
        <v>154</v>
      </c>
      <c r="E38" s="12">
        <v>45715</v>
      </c>
      <c r="F38" s="13" t="s">
        <v>9</v>
      </c>
      <c r="G38" s="13" t="s">
        <v>232</v>
      </c>
      <c r="H38" s="13" t="s">
        <v>233</v>
      </c>
      <c r="I38" s="13" t="s">
        <v>155</v>
      </c>
      <c r="J38" s="13"/>
    </row>
    <row r="39" spans="2:11" ht="17.25" customHeight="1">
      <c r="B39" s="13">
        <f>+B38+1</f>
        <v>38</v>
      </c>
      <c r="C39" s="5" t="s">
        <v>156</v>
      </c>
      <c r="D39" s="5" t="s">
        <v>157</v>
      </c>
      <c r="E39" s="26" t="s">
        <v>223</v>
      </c>
      <c r="F39" s="13" t="s">
        <v>9</v>
      </c>
      <c r="G39" s="13" t="s">
        <v>158</v>
      </c>
      <c r="H39" s="13" t="s">
        <v>31</v>
      </c>
      <c r="I39" s="13" t="s">
        <v>159</v>
      </c>
      <c r="J39" s="13"/>
    </row>
    <row r="40" spans="2:11" ht="17.25" customHeight="1">
      <c r="B40" s="13">
        <f t="shared" ref="B40:B51" si="1">+B39+1</f>
        <v>39</v>
      </c>
      <c r="C40" s="5" t="s">
        <v>160</v>
      </c>
      <c r="D40" s="5" t="s">
        <v>161</v>
      </c>
      <c r="E40" s="26" t="s">
        <v>224</v>
      </c>
      <c r="F40" s="13" t="s">
        <v>9</v>
      </c>
      <c r="G40" s="13" t="s">
        <v>162</v>
      </c>
      <c r="H40" s="13" t="s">
        <v>31</v>
      </c>
      <c r="I40" s="13" t="s">
        <v>163</v>
      </c>
      <c r="J40" s="13"/>
    </row>
    <row r="41" spans="2:11" ht="17.25" customHeight="1">
      <c r="B41" s="13">
        <f t="shared" si="1"/>
        <v>40</v>
      </c>
      <c r="C41" s="5" t="s">
        <v>168</v>
      </c>
      <c r="D41" s="5" t="s">
        <v>168</v>
      </c>
      <c r="E41" s="27" t="s">
        <v>225</v>
      </c>
      <c r="F41" s="13" t="s">
        <v>9</v>
      </c>
      <c r="G41" s="13" t="s">
        <v>169</v>
      </c>
      <c r="H41" s="20" t="s">
        <v>244</v>
      </c>
      <c r="I41" s="13" t="s">
        <v>170</v>
      </c>
      <c r="J41" s="13"/>
    </row>
    <row r="42" spans="2:11" ht="17.25" customHeight="1">
      <c r="B42" s="13">
        <f t="shared" si="1"/>
        <v>41</v>
      </c>
      <c r="C42" s="5" t="s">
        <v>171</v>
      </c>
      <c r="D42" s="5" t="s">
        <v>171</v>
      </c>
      <c r="E42" s="27" t="s">
        <v>226</v>
      </c>
      <c r="F42" s="13" t="s">
        <v>9</v>
      </c>
      <c r="G42" s="13" t="s">
        <v>172</v>
      </c>
      <c r="H42" s="20" t="s">
        <v>244</v>
      </c>
      <c r="I42" s="13" t="s">
        <v>173</v>
      </c>
      <c r="J42" s="13"/>
    </row>
    <row r="43" spans="2:11" ht="17.25" customHeight="1">
      <c r="B43" s="13">
        <f t="shared" si="1"/>
        <v>42</v>
      </c>
      <c r="C43" s="5" t="s">
        <v>174</v>
      </c>
      <c r="D43" s="5" t="s">
        <v>175</v>
      </c>
      <c r="E43" s="26" t="s">
        <v>227</v>
      </c>
      <c r="F43" s="13" t="s">
        <v>9</v>
      </c>
      <c r="G43" s="13" t="s">
        <v>176</v>
      </c>
      <c r="H43" s="13" t="s">
        <v>21</v>
      </c>
      <c r="I43" s="13" t="s">
        <v>132</v>
      </c>
      <c r="J43" s="13"/>
    </row>
    <row r="44" spans="2:11" ht="17.25" customHeight="1">
      <c r="B44" s="13">
        <f t="shared" si="1"/>
        <v>43</v>
      </c>
      <c r="C44" s="5" t="s">
        <v>177</v>
      </c>
      <c r="D44" s="5" t="s">
        <v>178</v>
      </c>
      <c r="E44" s="26" t="s">
        <v>228</v>
      </c>
      <c r="F44" s="13" t="s">
        <v>9</v>
      </c>
      <c r="G44" s="13" t="s">
        <v>179</v>
      </c>
      <c r="H44" s="13" t="s">
        <v>21</v>
      </c>
      <c r="I44" s="13" t="s">
        <v>180</v>
      </c>
      <c r="J44" s="13"/>
    </row>
    <row r="45" spans="2:11" ht="17.25" customHeight="1">
      <c r="B45" s="13">
        <f t="shared" si="1"/>
        <v>44</v>
      </c>
      <c r="C45" s="5" t="s">
        <v>188</v>
      </c>
      <c r="D45" s="5" t="s">
        <v>189</v>
      </c>
      <c r="E45" s="26" t="s">
        <v>229</v>
      </c>
      <c r="F45" s="13" t="s">
        <v>9</v>
      </c>
      <c r="G45" s="13" t="s">
        <v>190</v>
      </c>
      <c r="H45" s="13" t="s">
        <v>187</v>
      </c>
      <c r="I45" s="13" t="s">
        <v>269</v>
      </c>
      <c r="J45" s="13" t="s">
        <v>203</v>
      </c>
      <c r="K45" s="9" t="s">
        <v>270</v>
      </c>
    </row>
    <row r="46" spans="2:11" ht="17.25" customHeight="1">
      <c r="B46" s="13">
        <f t="shared" si="1"/>
        <v>45</v>
      </c>
      <c r="C46" s="5" t="s">
        <v>195</v>
      </c>
      <c r="D46" s="5" t="s">
        <v>196</v>
      </c>
      <c r="E46" s="26" t="s">
        <v>230</v>
      </c>
      <c r="F46" s="13" t="s">
        <v>192</v>
      </c>
      <c r="G46" s="13" t="s">
        <v>193</v>
      </c>
      <c r="H46" s="13" t="s">
        <v>260</v>
      </c>
      <c r="I46" s="13" t="s">
        <v>194</v>
      </c>
      <c r="J46" s="13"/>
    </row>
    <row r="47" spans="2:11" ht="17.25" customHeight="1">
      <c r="B47" s="13">
        <f t="shared" si="1"/>
        <v>46</v>
      </c>
      <c r="C47" s="5" t="s">
        <v>198</v>
      </c>
      <c r="D47" s="5" t="s">
        <v>198</v>
      </c>
      <c r="E47" s="26" t="s">
        <v>231</v>
      </c>
      <c r="F47" s="13" t="s">
        <v>9</v>
      </c>
      <c r="G47" s="13" t="s">
        <v>197</v>
      </c>
      <c r="H47" s="13" t="s">
        <v>187</v>
      </c>
      <c r="I47" s="13" t="s">
        <v>199</v>
      </c>
      <c r="J47" s="13"/>
    </row>
    <row r="48" spans="2:11" ht="17.25" customHeight="1">
      <c r="B48" s="13">
        <f t="shared" si="1"/>
        <v>47</v>
      </c>
      <c r="C48" s="5" t="s">
        <v>200</v>
      </c>
      <c r="D48" s="5" t="s">
        <v>200</v>
      </c>
      <c r="E48" s="26">
        <v>46064</v>
      </c>
      <c r="F48" s="13" t="s">
        <v>9</v>
      </c>
      <c r="G48" s="13" t="s">
        <v>201</v>
      </c>
      <c r="H48" s="13" t="s">
        <v>262</v>
      </c>
      <c r="I48" s="13" t="s">
        <v>202</v>
      </c>
      <c r="J48" s="13"/>
    </row>
    <row r="49" spans="2:10" ht="17.25" customHeight="1">
      <c r="B49" s="13">
        <f t="shared" si="1"/>
        <v>48</v>
      </c>
      <c r="C49" s="5" t="s">
        <v>238</v>
      </c>
      <c r="D49" s="5" t="s">
        <v>239</v>
      </c>
      <c r="E49" s="12">
        <v>46108</v>
      </c>
      <c r="F49" s="13" t="s">
        <v>9</v>
      </c>
      <c r="G49" s="13" t="s">
        <v>237</v>
      </c>
      <c r="H49" s="13" t="s">
        <v>58</v>
      </c>
      <c r="I49" s="13" t="s">
        <v>240</v>
      </c>
      <c r="J49" s="13"/>
    </row>
    <row r="50" spans="2:10" ht="17.25" customHeight="1">
      <c r="B50" s="13">
        <f t="shared" si="1"/>
        <v>49</v>
      </c>
      <c r="C50" s="5" t="s">
        <v>235</v>
      </c>
      <c r="D50" s="5" t="s">
        <v>235</v>
      </c>
      <c r="E50" s="12">
        <v>46111</v>
      </c>
      <c r="F50" s="13" t="s">
        <v>9</v>
      </c>
      <c r="G50" s="13" t="s">
        <v>234</v>
      </c>
      <c r="H50" s="13" t="s">
        <v>58</v>
      </c>
      <c r="I50" s="13" t="s">
        <v>236</v>
      </c>
      <c r="J50" s="13"/>
    </row>
    <row r="51" spans="2:10" ht="17.25" customHeight="1">
      <c r="B51" s="13">
        <f t="shared" si="1"/>
        <v>50</v>
      </c>
      <c r="C51" s="5" t="s">
        <v>245</v>
      </c>
      <c r="D51" s="5" t="s">
        <v>245</v>
      </c>
      <c r="E51" s="12">
        <v>46054</v>
      </c>
      <c r="F51" s="13" t="s">
        <v>9</v>
      </c>
      <c r="G51" s="13" t="s">
        <v>246</v>
      </c>
      <c r="H51" s="13" t="s">
        <v>58</v>
      </c>
      <c r="I51" s="13" t="s">
        <v>247</v>
      </c>
      <c r="J51" s="13"/>
    </row>
    <row r="52" spans="2:10" ht="17.25" customHeight="1">
      <c r="B52" s="13">
        <v>51</v>
      </c>
      <c r="C52" s="5" t="s">
        <v>265</v>
      </c>
      <c r="D52" s="5" t="s">
        <v>266</v>
      </c>
      <c r="E52" s="12">
        <v>46054</v>
      </c>
      <c r="F52" s="13" t="s">
        <v>9</v>
      </c>
      <c r="G52" s="13" t="s">
        <v>264</v>
      </c>
      <c r="H52" s="13" t="s">
        <v>58</v>
      </c>
      <c r="I52" s="13" t="s">
        <v>267</v>
      </c>
      <c r="J52" s="13"/>
    </row>
  </sheetData>
  <hyperlinks>
    <hyperlink ref="I4" r:id="rId1" xr:uid="{00000000-0004-0000-0000-000000000000}"/>
    <hyperlink ref="I2" r:id="rId2" xr:uid="{00000000-0004-0000-0000-000001000000}"/>
    <hyperlink ref="I3" r:id="rId3" xr:uid="{00000000-0004-0000-0000-000002000000}"/>
    <hyperlink ref="I5" r:id="rId4" xr:uid="{00000000-0004-0000-0000-000003000000}"/>
    <hyperlink ref="I7" r:id="rId5" xr:uid="{00000000-0004-0000-0000-000004000000}"/>
    <hyperlink ref="J7" r:id="rId6" xr:uid="{00000000-0004-0000-0000-000005000000}"/>
    <hyperlink ref="I9" r:id="rId7" xr:uid="{00000000-0004-0000-0000-000006000000}"/>
    <hyperlink ref="I6" r:id="rId8" xr:uid="{00000000-0004-0000-0000-000007000000}"/>
    <hyperlink ref="H7" r:id="rId9" display="*#Hemal06" xr:uid="{00000000-0004-0000-0000-000008000000}"/>
    <hyperlink ref="I10" r:id="rId10" xr:uid="{00000000-0004-0000-0000-000009000000}"/>
    <hyperlink ref="I12" r:id="rId11" xr:uid="{00000000-0004-0000-0000-00000A000000}"/>
    <hyperlink ref="H13" r:id="rId12" display="#Mclaren8" xr:uid="{00000000-0004-0000-0000-00000B000000}"/>
    <hyperlink ref="H5" r:id="rId13" display="*#Patel04" xr:uid="{00000000-0004-0000-0000-00000C000000}"/>
    <hyperlink ref="H6" r:id="rId14" display="*#Patel05" xr:uid="{00000000-0004-0000-0000-00000D000000}"/>
    <hyperlink ref="I11" r:id="rId15" xr:uid="{00000000-0004-0000-0000-00000E000000}"/>
    <hyperlink ref="I17" r:id="rId16" xr:uid="{00000000-0004-0000-0000-00000F000000}"/>
    <hyperlink ref="I18" r:id="rId17" xr:uid="{00000000-0004-0000-0000-000010000000}"/>
    <hyperlink ref="I20" r:id="rId18" xr:uid="{00000000-0004-0000-0000-000011000000}"/>
    <hyperlink ref="I22" r:id="rId19" xr:uid="{00000000-0004-0000-0000-000012000000}"/>
    <hyperlink ref="I26" r:id="rId20" xr:uid="{00000000-0004-0000-0000-000013000000}"/>
    <hyperlink ref="K23" r:id="rId21" xr:uid="{00000000-0004-0000-0000-000014000000}"/>
    <hyperlink ref="K20" r:id="rId22" xr:uid="{00000000-0004-0000-0000-000015000000}"/>
    <hyperlink ref="I16" r:id="rId23" xr:uid="{00000000-0004-0000-0000-000016000000}"/>
    <hyperlink ref="I21" r:id="rId24" xr:uid="{00000000-0004-0000-0000-000017000000}"/>
    <hyperlink ref="H38" r:id="rId25" display="Hemal@01" xr:uid="{00000000-0004-0000-0000-000018000000}"/>
    <hyperlink ref="H41" r:id="rId26" xr:uid="{00000000-0004-0000-0000-000019000000}"/>
    <hyperlink ref="H34" r:id="rId27" xr:uid="{00000000-0004-0000-0000-00001A000000}"/>
    <hyperlink ref="H45" r:id="rId28" display="Hemal@01" xr:uid="{00000000-0004-0000-0000-00001B000000}"/>
    <hyperlink ref="H46" r:id="rId29" display="Hemal@01" xr:uid="{00000000-0004-0000-0000-00001C000000}"/>
    <hyperlink ref="H47" r:id="rId30" display="Hemal@01" xr:uid="{00000000-0004-0000-0000-00001D000000}"/>
    <hyperlink ref="H48" r:id="rId31" display="Hemal@01" xr:uid="{00000000-0004-0000-0000-00001E000000}"/>
    <hyperlink ref="H42" r:id="rId32" xr:uid="{00000000-0004-0000-0000-00001F000000}"/>
  </hyperlinks>
  <pageMargins left="0.7" right="0.7" top="0.75" bottom="0.75" header="0.3" footer="0.3"/>
  <pageSetup orientation="portrait" r:id="rId33"/>
  <ignoredErrors>
    <ignoredError sqref="E39:E4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6"/>
  <sheetViews>
    <sheetView topLeftCell="A16" workbookViewId="0">
      <selection activeCell="B24" sqref="B24"/>
    </sheetView>
  </sheetViews>
  <sheetFormatPr defaultColWidth="9" defaultRowHeight="20.2" customHeight="1"/>
  <cols>
    <col min="1" max="1" width="4.88671875" customWidth="1"/>
    <col min="2" max="2" width="31.33203125" customWidth="1"/>
    <col min="3" max="3" width="30.5546875" customWidth="1"/>
    <col min="8" max="8" width="16.109375" customWidth="1"/>
    <col min="9" max="9" width="16.6640625" customWidth="1"/>
  </cols>
  <sheetData>
    <row r="1" spans="1:3" ht="20.2" customHeight="1">
      <c r="A1" s="36" t="s">
        <v>164</v>
      </c>
      <c r="B1" s="36"/>
      <c r="C1" s="36"/>
    </row>
    <row r="2" spans="1:3" s="1" customFormat="1" ht="20.2" customHeight="1">
      <c r="A2" s="2" t="s">
        <v>0</v>
      </c>
      <c r="B2" s="2" t="s">
        <v>1</v>
      </c>
      <c r="C2" s="2" t="s">
        <v>2</v>
      </c>
    </row>
    <row r="3" spans="1:3" ht="20.2" customHeight="1">
      <c r="A3" s="3">
        <v>1</v>
      </c>
      <c r="B3" s="4" t="s">
        <v>8</v>
      </c>
      <c r="C3" s="4" t="s">
        <v>8</v>
      </c>
    </row>
    <row r="4" spans="1:3" ht="20.2" customHeight="1">
      <c r="A4" s="3">
        <f>+A3+1</f>
        <v>2</v>
      </c>
      <c r="B4" s="4" t="s">
        <v>15</v>
      </c>
      <c r="C4" s="4" t="s">
        <v>15</v>
      </c>
    </row>
    <row r="5" spans="1:3" ht="20.2" customHeight="1">
      <c r="A5" s="3">
        <f>+A4+1</f>
        <v>3</v>
      </c>
      <c r="B5" s="5" t="s">
        <v>19</v>
      </c>
      <c r="C5" s="5" t="s">
        <v>19</v>
      </c>
    </row>
    <row r="6" spans="1:3" ht="20.2" customHeight="1">
      <c r="A6" s="3">
        <f>+A5+1</f>
        <v>4</v>
      </c>
      <c r="B6" s="5" t="s">
        <v>24</v>
      </c>
      <c r="C6" s="5" t="s">
        <v>24</v>
      </c>
    </row>
    <row r="7" spans="1:3" ht="20.2" customHeight="1">
      <c r="A7" s="3">
        <f t="shared" ref="A7:A25" si="0">+A6+1</f>
        <v>5</v>
      </c>
      <c r="B7" s="5" t="s">
        <v>28</v>
      </c>
      <c r="C7" s="5" t="s">
        <v>29</v>
      </c>
    </row>
    <row r="8" spans="1:3" ht="20.2" customHeight="1">
      <c r="A8" s="3">
        <f t="shared" si="0"/>
        <v>6</v>
      </c>
      <c r="B8" s="5" t="s">
        <v>34</v>
      </c>
      <c r="C8" s="5" t="s">
        <v>34</v>
      </c>
    </row>
    <row r="9" spans="1:3" ht="20.2" customHeight="1">
      <c r="A9" s="6">
        <f t="shared" si="0"/>
        <v>7</v>
      </c>
      <c r="B9" s="7" t="s">
        <v>38</v>
      </c>
      <c r="C9" s="7" t="s">
        <v>38</v>
      </c>
    </row>
    <row r="10" spans="1:3" ht="20.2" customHeight="1">
      <c r="A10" s="3">
        <f t="shared" si="0"/>
        <v>8</v>
      </c>
      <c r="B10" s="5" t="s">
        <v>42</v>
      </c>
      <c r="C10" s="5" t="s">
        <v>42</v>
      </c>
    </row>
    <row r="11" spans="1:3" ht="20.2" customHeight="1">
      <c r="A11" s="3">
        <f t="shared" si="0"/>
        <v>9</v>
      </c>
      <c r="B11" s="5" t="s">
        <v>47</v>
      </c>
      <c r="C11" s="5" t="s">
        <v>47</v>
      </c>
    </row>
    <row r="12" spans="1:3" ht="20.2" customHeight="1">
      <c r="A12" s="3">
        <f t="shared" si="0"/>
        <v>10</v>
      </c>
      <c r="B12" s="5" t="s">
        <v>51</v>
      </c>
      <c r="C12" s="5" t="s">
        <v>51</v>
      </c>
    </row>
    <row r="13" spans="1:3" ht="20.2" customHeight="1">
      <c r="A13" s="3">
        <f t="shared" si="0"/>
        <v>11</v>
      </c>
      <c r="B13" s="5" t="s">
        <v>56</v>
      </c>
      <c r="C13" s="5" t="s">
        <v>56</v>
      </c>
    </row>
    <row r="14" spans="1:3" ht="20.2" customHeight="1">
      <c r="A14" s="6">
        <f t="shared" si="0"/>
        <v>12</v>
      </c>
      <c r="B14" s="7" t="s">
        <v>61</v>
      </c>
      <c r="C14" s="7" t="s">
        <v>61</v>
      </c>
    </row>
    <row r="15" spans="1:3" ht="20.2" customHeight="1">
      <c r="A15" s="3">
        <f t="shared" si="0"/>
        <v>13</v>
      </c>
      <c r="B15" s="5" t="s">
        <v>64</v>
      </c>
      <c r="C15" s="5" t="s">
        <v>65</v>
      </c>
    </row>
    <row r="16" spans="1:3" ht="20.2" customHeight="1">
      <c r="A16" s="3">
        <f t="shared" si="0"/>
        <v>14</v>
      </c>
      <c r="B16" s="5" t="s">
        <v>68</v>
      </c>
      <c r="C16" s="5" t="s">
        <v>69</v>
      </c>
    </row>
    <row r="17" spans="1:9" ht="20.2" customHeight="1">
      <c r="A17" s="3">
        <f t="shared" si="0"/>
        <v>15</v>
      </c>
      <c r="B17" s="5" t="s">
        <v>72</v>
      </c>
      <c r="C17" s="5" t="s">
        <v>73</v>
      </c>
    </row>
    <row r="18" spans="1:9" ht="20.2" customHeight="1">
      <c r="A18" s="3">
        <f t="shared" si="0"/>
        <v>16</v>
      </c>
      <c r="B18" s="5" t="s">
        <v>165</v>
      </c>
      <c r="C18" s="5" t="s">
        <v>166</v>
      </c>
      <c r="H18" s="37" t="s">
        <v>165</v>
      </c>
      <c r="I18" s="37"/>
    </row>
    <row r="19" spans="1:9" ht="20.2" customHeight="1">
      <c r="A19" s="3">
        <f t="shared" si="0"/>
        <v>17</v>
      </c>
      <c r="B19" s="5" t="s">
        <v>82</v>
      </c>
      <c r="C19" s="5" t="s">
        <v>83</v>
      </c>
      <c r="H19" s="34" t="s">
        <v>253</v>
      </c>
      <c r="I19" s="10"/>
    </row>
    <row r="20" spans="1:9" ht="20.2" customHeight="1">
      <c r="A20" s="3">
        <f t="shared" si="0"/>
        <v>18</v>
      </c>
      <c r="B20" s="5" t="s">
        <v>87</v>
      </c>
      <c r="C20" s="5" t="s">
        <v>88</v>
      </c>
      <c r="H20" s="33" t="s">
        <v>254</v>
      </c>
      <c r="I20" s="10" t="s">
        <v>79</v>
      </c>
    </row>
    <row r="21" spans="1:9" ht="20.2" customHeight="1">
      <c r="A21" s="3">
        <f t="shared" si="0"/>
        <v>19</v>
      </c>
      <c r="B21" s="5" t="s">
        <v>91</v>
      </c>
      <c r="C21" s="5" t="s">
        <v>91</v>
      </c>
      <c r="H21" s="33" t="s">
        <v>255</v>
      </c>
      <c r="I21" s="10" t="s">
        <v>40</v>
      </c>
    </row>
    <row r="22" spans="1:9" ht="20.2" customHeight="1">
      <c r="A22" s="3">
        <f t="shared" si="0"/>
        <v>20</v>
      </c>
      <c r="B22" s="5" t="s">
        <v>167</v>
      </c>
      <c r="C22" s="5" t="s">
        <v>167</v>
      </c>
      <c r="H22" s="10"/>
      <c r="I22" s="10"/>
    </row>
    <row r="23" spans="1:9" ht="20.2" customHeight="1">
      <c r="A23" s="3">
        <f t="shared" si="0"/>
        <v>21</v>
      </c>
      <c r="B23" s="5" t="s">
        <v>98</v>
      </c>
      <c r="C23" s="5" t="s">
        <v>99</v>
      </c>
      <c r="H23" s="34" t="s">
        <v>256</v>
      </c>
      <c r="I23" s="10"/>
    </row>
    <row r="24" spans="1:9" ht="20.2" customHeight="1">
      <c r="A24" s="3">
        <f t="shared" si="0"/>
        <v>22</v>
      </c>
      <c r="B24" s="5" t="s">
        <v>102</v>
      </c>
      <c r="C24" s="5" t="s">
        <v>103</v>
      </c>
      <c r="H24" s="33" t="s">
        <v>254</v>
      </c>
      <c r="I24" s="10" t="s">
        <v>257</v>
      </c>
    </row>
    <row r="25" spans="1:9" ht="20.2" customHeight="1">
      <c r="A25" s="3">
        <f t="shared" si="0"/>
        <v>23</v>
      </c>
      <c r="B25" s="5" t="s">
        <v>106</v>
      </c>
      <c r="C25" s="5" t="s">
        <v>106</v>
      </c>
      <c r="H25" s="33" t="s">
        <v>255</v>
      </c>
      <c r="I25" s="35" t="s">
        <v>258</v>
      </c>
    </row>
    <row r="26" spans="1:9" ht="20.2" customHeight="1">
      <c r="H26" s="10"/>
      <c r="I26" s="10"/>
    </row>
  </sheetData>
  <mergeCells count="2">
    <mergeCell ref="A1:C1"/>
    <mergeCell ref="H18:I18"/>
  </mergeCells>
  <pageMargins left="0.511811023622047" right="0.70866141732283505" top="0.35433070866141703" bottom="0.35433070866141703" header="0.31496062992126" footer="0.3149606299212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view="pageBreakPreview" topLeftCell="A42" zoomScale="115" zoomScaleNormal="100" zoomScaleSheetLayoutView="115" workbookViewId="0">
      <selection activeCell="C44" sqref="C44"/>
    </sheetView>
  </sheetViews>
  <sheetFormatPr defaultColWidth="9.109375" defaultRowHeight="24.75" customHeight="1"/>
  <cols>
    <col min="1" max="1" width="2.44140625" style="9" customWidth="1"/>
    <col min="2" max="2" width="5.5546875" style="10" customWidth="1"/>
    <col min="3" max="3" width="47.6640625" style="9" bestFit="1" customWidth="1"/>
    <col min="4" max="5" width="24.5546875" style="9" customWidth="1"/>
    <col min="6" max="6" width="26.44140625" style="9" customWidth="1"/>
    <col min="7" max="16384" width="9.109375" style="9"/>
  </cols>
  <sheetData>
    <row r="1" spans="2:6" ht="24.75" customHeight="1">
      <c r="B1" s="38" t="s">
        <v>184</v>
      </c>
      <c r="C1" s="38"/>
      <c r="D1" s="38"/>
      <c r="E1" s="38"/>
      <c r="F1" s="38"/>
    </row>
    <row r="2" spans="2:6" s="21" customFormat="1" ht="24.75" customHeight="1">
      <c r="B2" s="2" t="s">
        <v>0</v>
      </c>
      <c r="C2" s="2" t="s">
        <v>2</v>
      </c>
      <c r="D2" s="2" t="s">
        <v>181</v>
      </c>
      <c r="E2" s="2" t="s">
        <v>182</v>
      </c>
      <c r="F2" s="2" t="s">
        <v>183</v>
      </c>
    </row>
    <row r="3" spans="2:6" ht="24.75" customHeight="1">
      <c r="B3" s="3">
        <v>1</v>
      </c>
      <c r="C3" s="4" t="s">
        <v>191</v>
      </c>
      <c r="D3" s="5"/>
      <c r="E3" s="5"/>
      <c r="F3" s="5"/>
    </row>
    <row r="4" spans="2:6" ht="24.75" customHeight="1">
      <c r="B4" s="3">
        <f>+B3+1</f>
        <v>2</v>
      </c>
      <c r="C4" s="4" t="s">
        <v>206</v>
      </c>
      <c r="D4" s="5"/>
      <c r="E4" s="5"/>
      <c r="F4" s="5"/>
    </row>
    <row r="5" spans="2:6" ht="24.75" customHeight="1">
      <c r="B5" s="3">
        <f t="shared" ref="B5:B46" si="0">+B4+1</f>
        <v>3</v>
      </c>
      <c r="C5" s="4" t="s">
        <v>243</v>
      </c>
      <c r="D5" s="5"/>
      <c r="E5" s="5"/>
      <c r="F5" s="5"/>
    </row>
    <row r="6" spans="2:6" ht="24.75" customHeight="1">
      <c r="B6" s="3">
        <f t="shared" si="0"/>
        <v>4</v>
      </c>
      <c r="C6" s="4" t="s">
        <v>34</v>
      </c>
      <c r="D6" s="5"/>
      <c r="E6" s="5"/>
      <c r="F6" s="5"/>
    </row>
    <row r="7" spans="2:6" ht="24.75" customHeight="1">
      <c r="B7" s="3">
        <f t="shared" si="0"/>
        <v>5</v>
      </c>
      <c r="C7" s="4" t="s">
        <v>47</v>
      </c>
      <c r="D7" s="5"/>
      <c r="E7" s="5"/>
      <c r="F7" s="5"/>
    </row>
    <row r="8" spans="2:6" ht="24.75" customHeight="1">
      <c r="B8" s="3">
        <f t="shared" si="0"/>
        <v>6</v>
      </c>
      <c r="C8" s="4" t="s">
        <v>91</v>
      </c>
      <c r="D8" s="5"/>
      <c r="E8" s="5"/>
      <c r="F8" s="5"/>
    </row>
    <row r="9" spans="2:6" ht="24.75" customHeight="1">
      <c r="B9" s="3">
        <f t="shared" si="0"/>
        <v>7</v>
      </c>
      <c r="C9" s="4" t="s">
        <v>119</v>
      </c>
      <c r="D9" s="5"/>
      <c r="E9" s="5"/>
      <c r="F9" s="5"/>
    </row>
    <row r="10" spans="2:6" ht="24.75" customHeight="1">
      <c r="B10" s="3">
        <f t="shared" si="0"/>
        <v>8</v>
      </c>
      <c r="C10" s="4" t="s">
        <v>207</v>
      </c>
      <c r="D10" s="5"/>
      <c r="E10" s="5"/>
      <c r="F10" s="5"/>
    </row>
    <row r="11" spans="2:6" ht="24.75" customHeight="1">
      <c r="B11" s="3">
        <f t="shared" si="0"/>
        <v>9</v>
      </c>
      <c r="C11" s="4" t="s">
        <v>38</v>
      </c>
      <c r="D11" s="4"/>
      <c r="E11" s="4"/>
      <c r="F11" s="4"/>
    </row>
    <row r="12" spans="2:6" ht="24.75" customHeight="1">
      <c r="B12" s="3">
        <f t="shared" si="0"/>
        <v>10</v>
      </c>
      <c r="C12" s="4" t="s">
        <v>208</v>
      </c>
      <c r="D12" s="5"/>
      <c r="E12" s="5"/>
      <c r="F12" s="5"/>
    </row>
    <row r="13" spans="2:6" ht="24.75" customHeight="1">
      <c r="B13" s="3">
        <f t="shared" si="0"/>
        <v>11</v>
      </c>
      <c r="C13" s="4" t="s">
        <v>130</v>
      </c>
      <c r="D13" s="5"/>
      <c r="E13" s="5"/>
      <c r="F13" s="5"/>
    </row>
    <row r="14" spans="2:6" ht="24.75" customHeight="1">
      <c r="B14" s="3">
        <f t="shared" si="0"/>
        <v>12</v>
      </c>
      <c r="C14" s="4" t="s">
        <v>209</v>
      </c>
      <c r="D14" s="5"/>
      <c r="E14" s="5"/>
      <c r="F14" s="5"/>
    </row>
    <row r="15" spans="2:6" ht="24.75" customHeight="1">
      <c r="B15" s="3">
        <f t="shared" si="0"/>
        <v>13</v>
      </c>
      <c r="C15" s="4" t="s">
        <v>137</v>
      </c>
      <c r="D15" s="5"/>
      <c r="E15" s="5"/>
      <c r="F15" s="5"/>
    </row>
    <row r="16" spans="2:6" ht="24.75" customHeight="1">
      <c r="B16" s="3">
        <f t="shared" si="0"/>
        <v>14</v>
      </c>
      <c r="C16" s="4" t="s">
        <v>210</v>
      </c>
      <c r="D16" s="5"/>
      <c r="E16" s="5"/>
      <c r="F16" s="5"/>
    </row>
    <row r="17" spans="2:6" ht="24.75" customHeight="1">
      <c r="B17" s="3">
        <f t="shared" si="0"/>
        <v>15</v>
      </c>
      <c r="C17" s="4" t="s">
        <v>211</v>
      </c>
      <c r="D17" s="5"/>
      <c r="E17" s="5"/>
      <c r="F17" s="5"/>
    </row>
    <row r="18" spans="2:6" ht="24.75" customHeight="1">
      <c r="B18" s="3">
        <f t="shared" si="0"/>
        <v>16</v>
      </c>
      <c r="C18" s="4" t="s">
        <v>154</v>
      </c>
      <c r="D18" s="5"/>
      <c r="E18" s="5"/>
      <c r="F18" s="5"/>
    </row>
    <row r="19" spans="2:6" ht="24.75" customHeight="1">
      <c r="B19" s="3">
        <f t="shared" si="0"/>
        <v>17</v>
      </c>
      <c r="C19" s="4" t="s">
        <v>212</v>
      </c>
      <c r="D19" s="5"/>
      <c r="E19" s="5"/>
      <c r="F19" s="5"/>
    </row>
    <row r="20" spans="2:6" ht="24.75" customHeight="1">
      <c r="B20" s="3">
        <f t="shared" si="0"/>
        <v>18</v>
      </c>
      <c r="C20" s="4" t="s">
        <v>213</v>
      </c>
      <c r="D20" s="5"/>
      <c r="E20" s="5"/>
      <c r="F20" s="5"/>
    </row>
    <row r="21" spans="2:6" ht="24.75" customHeight="1">
      <c r="B21" s="3">
        <f t="shared" si="0"/>
        <v>19</v>
      </c>
      <c r="C21" s="4" t="s">
        <v>168</v>
      </c>
      <c r="D21" s="5"/>
      <c r="E21" s="5"/>
      <c r="F21" s="31"/>
    </row>
    <row r="22" spans="2:6" ht="24.75" customHeight="1">
      <c r="B22" s="3">
        <f t="shared" si="0"/>
        <v>20</v>
      </c>
      <c r="C22" s="4" t="s">
        <v>171</v>
      </c>
      <c r="D22" s="5"/>
      <c r="E22" s="5"/>
      <c r="F22" s="31"/>
    </row>
    <row r="23" spans="2:6" ht="24.75" customHeight="1">
      <c r="B23" s="3">
        <f t="shared" si="0"/>
        <v>21</v>
      </c>
      <c r="C23" s="4" t="s">
        <v>214</v>
      </c>
      <c r="D23" s="5"/>
      <c r="E23" s="5"/>
      <c r="F23" s="31"/>
    </row>
    <row r="24" spans="2:6" ht="24.75" customHeight="1">
      <c r="B24" s="3">
        <f t="shared" si="0"/>
        <v>22</v>
      </c>
      <c r="C24" s="4" t="s">
        <v>215</v>
      </c>
      <c r="D24" s="5"/>
      <c r="E24" s="5"/>
      <c r="F24" s="31"/>
    </row>
    <row r="25" spans="2:6" ht="24.75" customHeight="1">
      <c r="B25" s="3">
        <f t="shared" si="0"/>
        <v>23</v>
      </c>
      <c r="C25" s="4" t="s">
        <v>204</v>
      </c>
      <c r="D25" s="5"/>
      <c r="E25" s="5"/>
      <c r="F25" s="31"/>
    </row>
    <row r="26" spans="2:6" ht="24.75" customHeight="1">
      <c r="B26" s="3">
        <f t="shared" si="0"/>
        <v>24</v>
      </c>
      <c r="C26" s="4" t="s">
        <v>198</v>
      </c>
      <c r="D26" s="5"/>
      <c r="E26" s="5"/>
      <c r="F26" s="31"/>
    </row>
    <row r="27" spans="2:6" ht="24.75" customHeight="1">
      <c r="B27" s="3">
        <f t="shared" si="0"/>
        <v>25</v>
      </c>
      <c r="C27" s="4" t="s">
        <v>200</v>
      </c>
      <c r="D27" s="5"/>
      <c r="E27" s="5"/>
      <c r="F27" s="31"/>
    </row>
    <row r="28" spans="2:6" ht="24.75" customHeight="1">
      <c r="B28" s="3">
        <f t="shared" si="0"/>
        <v>26</v>
      </c>
      <c r="C28" s="4" t="s">
        <v>241</v>
      </c>
      <c r="D28" s="5"/>
      <c r="E28" s="5"/>
      <c r="F28" s="31"/>
    </row>
    <row r="29" spans="2:6" ht="24.75" customHeight="1">
      <c r="B29" s="3">
        <f t="shared" si="0"/>
        <v>27</v>
      </c>
      <c r="C29" s="4" t="s">
        <v>235</v>
      </c>
      <c r="D29" s="5"/>
      <c r="E29" s="5"/>
      <c r="F29" s="31"/>
    </row>
    <row r="30" spans="2:6" ht="24.75" customHeight="1">
      <c r="B30" s="3">
        <f t="shared" si="0"/>
        <v>28</v>
      </c>
      <c r="C30" s="4" t="s">
        <v>245</v>
      </c>
      <c r="D30" s="5"/>
      <c r="E30" s="5"/>
      <c r="F30" s="31"/>
    </row>
    <row r="31" spans="2:6" ht="24.75" customHeight="1">
      <c r="B31" s="38" t="s">
        <v>184</v>
      </c>
      <c r="C31" s="38"/>
      <c r="D31" s="38"/>
      <c r="E31" s="38"/>
      <c r="F31" s="38"/>
    </row>
    <row r="32" spans="2:6" s="21" customFormat="1" ht="24.75" customHeight="1">
      <c r="B32" s="2" t="s">
        <v>0</v>
      </c>
      <c r="C32" s="2" t="s">
        <v>2</v>
      </c>
      <c r="D32" s="2" t="s">
        <v>181</v>
      </c>
      <c r="E32" s="2" t="s">
        <v>182</v>
      </c>
      <c r="F32" s="2" t="s">
        <v>183</v>
      </c>
    </row>
    <row r="33" spans="1:6" ht="24.75" customHeight="1">
      <c r="B33" s="3">
        <f>+B30+1</f>
        <v>29</v>
      </c>
      <c r="C33" s="4" t="s">
        <v>8</v>
      </c>
      <c r="D33" s="4"/>
      <c r="E33" s="4"/>
      <c r="F33" s="31"/>
    </row>
    <row r="34" spans="1:6" ht="24.75" customHeight="1">
      <c r="A34" s="9" t="s">
        <v>14</v>
      </c>
      <c r="B34" s="3">
        <f t="shared" si="0"/>
        <v>30</v>
      </c>
      <c r="C34" s="4" t="s">
        <v>15</v>
      </c>
      <c r="D34" s="4"/>
      <c r="E34" s="4"/>
      <c r="F34" s="31"/>
    </row>
    <row r="35" spans="1:6" ht="24.75" customHeight="1">
      <c r="B35" s="3">
        <f t="shared" si="0"/>
        <v>31</v>
      </c>
      <c r="C35" s="4" t="s">
        <v>19</v>
      </c>
      <c r="D35" s="5"/>
      <c r="E35" s="5"/>
      <c r="F35" s="32"/>
    </row>
    <row r="36" spans="1:6" ht="24.75" customHeight="1">
      <c r="B36" s="3">
        <f t="shared" si="0"/>
        <v>32</v>
      </c>
      <c r="C36" s="4" t="s">
        <v>24</v>
      </c>
      <c r="D36" s="5"/>
      <c r="E36" s="5"/>
      <c r="F36" s="32"/>
    </row>
    <row r="37" spans="1:6" ht="24.75" customHeight="1">
      <c r="B37" s="3">
        <f t="shared" si="0"/>
        <v>33</v>
      </c>
      <c r="C37" s="4" t="s">
        <v>51</v>
      </c>
      <c r="D37" s="5"/>
      <c r="E37" s="5"/>
      <c r="F37" s="32"/>
    </row>
    <row r="38" spans="1:6" ht="24.75" customHeight="1">
      <c r="B38" s="3">
        <f t="shared" si="0"/>
        <v>34</v>
      </c>
      <c r="C38" s="4" t="s">
        <v>61</v>
      </c>
      <c r="D38" s="5"/>
      <c r="E38" s="5"/>
      <c r="F38" s="32"/>
    </row>
    <row r="39" spans="1:6" ht="24.75" customHeight="1">
      <c r="B39" s="3">
        <f t="shared" si="0"/>
        <v>35</v>
      </c>
      <c r="C39" s="4" t="s">
        <v>216</v>
      </c>
      <c r="D39" s="5"/>
      <c r="E39" s="5"/>
      <c r="F39" s="32"/>
    </row>
    <row r="40" spans="1:6" ht="24.75" customHeight="1">
      <c r="B40" s="3">
        <f t="shared" si="0"/>
        <v>36</v>
      </c>
      <c r="C40" s="4" t="s">
        <v>217</v>
      </c>
      <c r="D40" s="5"/>
      <c r="E40" s="5"/>
      <c r="F40" s="32"/>
    </row>
    <row r="41" spans="1:6" ht="24.75" customHeight="1">
      <c r="B41" s="3">
        <f t="shared" si="0"/>
        <v>37</v>
      </c>
      <c r="C41" s="4" t="s">
        <v>218</v>
      </c>
      <c r="D41" s="5"/>
      <c r="E41" s="5"/>
      <c r="F41" s="32"/>
    </row>
    <row r="42" spans="1:6" ht="24.75" customHeight="1">
      <c r="B42" s="3">
        <f t="shared" si="0"/>
        <v>38</v>
      </c>
      <c r="C42" s="4" t="s">
        <v>219</v>
      </c>
      <c r="D42" s="5"/>
      <c r="E42" s="5"/>
      <c r="F42" s="32"/>
    </row>
    <row r="43" spans="1:6" ht="24.75" customHeight="1">
      <c r="B43" s="3">
        <f t="shared" si="0"/>
        <v>39</v>
      </c>
      <c r="C43" s="4" t="s">
        <v>220</v>
      </c>
      <c r="D43" s="5"/>
      <c r="E43" s="5"/>
      <c r="F43" s="32"/>
    </row>
    <row r="44" spans="1:6" ht="24.75" customHeight="1">
      <c r="B44" s="3">
        <f t="shared" si="0"/>
        <v>40</v>
      </c>
      <c r="C44" s="4" t="s">
        <v>109</v>
      </c>
      <c r="D44" s="5"/>
      <c r="E44" s="5"/>
      <c r="F44" s="32"/>
    </row>
    <row r="45" spans="1:6" ht="24.75" customHeight="1">
      <c r="B45" s="3">
        <f t="shared" si="0"/>
        <v>41</v>
      </c>
      <c r="C45" s="4" t="s">
        <v>221</v>
      </c>
      <c r="D45" s="5"/>
      <c r="E45" s="5"/>
      <c r="F45" s="32"/>
    </row>
    <row r="46" spans="1:6" ht="24.75" customHeight="1">
      <c r="B46" s="3">
        <f t="shared" si="0"/>
        <v>42</v>
      </c>
      <c r="C46" s="4" t="s">
        <v>222</v>
      </c>
      <c r="D46" s="5"/>
      <c r="E46" s="5"/>
      <c r="F46" s="32"/>
    </row>
    <row r="47" spans="1:6" ht="24.75" customHeight="1">
      <c r="B47" s="28"/>
      <c r="C47" s="29"/>
      <c r="D47" s="29"/>
      <c r="E47" s="29"/>
      <c r="F47" s="30"/>
    </row>
    <row r="48" spans="1:6" ht="24.75" customHeight="1">
      <c r="B48" s="38" t="s">
        <v>242</v>
      </c>
      <c r="C48" s="38"/>
      <c r="D48" s="38"/>
      <c r="E48" s="38"/>
      <c r="F48" s="38"/>
    </row>
    <row r="49" spans="2:6" ht="24.75" customHeight="1">
      <c r="B49" s="3">
        <f>+B46+1</f>
        <v>43</v>
      </c>
      <c r="C49" s="5" t="s">
        <v>205</v>
      </c>
      <c r="D49" s="5"/>
      <c r="E49" s="5"/>
      <c r="F49" s="5"/>
    </row>
    <row r="50" spans="2:6" ht="24.75" customHeight="1">
      <c r="B50" s="3">
        <v>44</v>
      </c>
      <c r="C50" s="5" t="s">
        <v>268</v>
      </c>
      <c r="D50" s="5"/>
      <c r="E50" s="5"/>
      <c r="F50" s="5"/>
    </row>
  </sheetData>
  <mergeCells count="3">
    <mergeCell ref="B1:F1"/>
    <mergeCell ref="B31:F31"/>
    <mergeCell ref="B48:F48"/>
  </mergeCells>
  <pageMargins left="0.39370078740157499" right="0.511811023622047" top="0.31496062992126" bottom="0.15748031496063" header="0.31496062992126" footer="0.118110236220472"/>
  <pageSetup paperSize="9" scale="77" orientation="landscape" r:id="rId1"/>
  <rowBreaks count="1" manualBreakCount="1">
    <brk id="30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A8D1-1D02-46DF-AEB2-EEF35618DB03}">
  <dimension ref="A1:L50"/>
  <sheetViews>
    <sheetView tabSelected="1" workbookViewId="0">
      <selection activeCell="E8" sqref="E8"/>
    </sheetView>
  </sheetViews>
  <sheetFormatPr defaultRowHeight="15.05"/>
  <cols>
    <col min="1" max="1" width="44.5546875" bestFit="1" customWidth="1"/>
    <col min="2" max="2" width="10.33203125" bestFit="1" customWidth="1"/>
    <col min="3" max="3" width="36.21875" bestFit="1" customWidth="1"/>
    <col min="4" max="4" width="11" bestFit="1" customWidth="1"/>
    <col min="8" max="8" width="34.21875" bestFit="1" customWidth="1"/>
    <col min="9" max="9" width="11" bestFit="1" customWidth="1"/>
  </cols>
  <sheetData>
    <row r="1" spans="1:12">
      <c r="A1" s="42" t="s">
        <v>283</v>
      </c>
      <c r="B1" s="43" t="s">
        <v>279</v>
      </c>
    </row>
    <row r="2" spans="1:12">
      <c r="A2" s="42" t="s">
        <v>278</v>
      </c>
      <c r="B2" s="43">
        <v>2026</v>
      </c>
      <c r="L2" s="40"/>
    </row>
    <row r="3" spans="1:12">
      <c r="A3" s="42" t="s">
        <v>284</v>
      </c>
      <c r="B3" s="43">
        <v>9</v>
      </c>
      <c r="L3" s="40"/>
    </row>
    <row r="4" spans="1:12">
      <c r="A4" s="42" t="s">
        <v>280</v>
      </c>
      <c r="B4" s="44">
        <v>10</v>
      </c>
      <c r="J4" s="41"/>
    </row>
    <row r="5" spans="1:12">
      <c r="A5" s="42" t="s">
        <v>281</v>
      </c>
      <c r="B5" s="44">
        <v>11</v>
      </c>
      <c r="D5" s="39"/>
    </row>
    <row r="10" spans="1:12">
      <c r="A10" s="4" t="s">
        <v>191</v>
      </c>
      <c r="C10" t="s">
        <v>282</v>
      </c>
      <c r="D10">
        <v>9870713071</v>
      </c>
      <c r="E10" s="40" t="str">
        <f>HYPERLINK(CONCATENATE("https://wa.me/",D10,"?text=*",C10,"*%0a","SALE%20AND%20PURCHASE%20DETAILS%20REQUIRED%20OF%20",$B$1,"%20",$B$2,"%20FOR%20GST%20RETURN%0a","*LAST%20DATE:%20",TEXT(DATE($B$2,$B$3,$B$4),"DD-MM-YYYY"),"*"))</f>
        <v>https://wa.me/9870713071?text=*BEEJAL INFRASTRUCTURE AND BUILDCON*%0aSALE%20AND%20PURCHASE%20DETAILS%20REQUIRED%20OF%20AUGUST%202026%20FOR%20GST%20RETURN%0a*LAST%20DATE:%2010-09-2026*</v>
      </c>
    </row>
    <row r="11" spans="1:12">
      <c r="A11" s="4" t="s">
        <v>206</v>
      </c>
      <c r="C11" t="s">
        <v>106</v>
      </c>
      <c r="D11">
        <v>9870713071</v>
      </c>
      <c r="E11" s="40" t="str">
        <f>HYPERLINK(CONCATENATE("https://wa.me/",D11,"?text=*",C11,"*%0a","SALE%20AND%20PURCHASE%20DETAILS%20REQUIRED%20OF%20",$B$1,"%20",$B$2,"%20FOR%20GST%20RETURN%0a","*LAST%20DATE:%20",TEXT(DATE($B$2,$B$3,$B$4),"DD-MM-YYYY"),"*"))</f>
        <v>https://wa.me/9870713071?text=*SAMAJ*%0aSALE%20AND%20PURCHASE%20DETAILS%20REQUIRED%20OF%20AUGUST%202026%20FOR%20GST%20RETURN%0a*LAST%20DATE:%2010-09-2026*</v>
      </c>
    </row>
    <row r="12" spans="1:12">
      <c r="A12" s="4" t="s">
        <v>243</v>
      </c>
      <c r="C12" t="s">
        <v>274</v>
      </c>
      <c r="D12">
        <v>9870713071</v>
      </c>
      <c r="E12" s="40" t="str">
        <f>HYPERLINK(CONCATENATE("https://wa.me/",D12,"?text=*",C12,"*%0a","SALE%20AND%20PURCHASE%20DETAILS%20REQUIRED%20OF%20",$B$1,"%20",$B$2,"%20FOR%20GST%20RETURN%0a","*LAST%20DATE:%20",TEXT(DATE($B$2,$B$3,$B$4),"DD-MM-YYYY"),"*"))</f>
        <v>https://wa.me/9870713071?text=*SHAKTI CONSTRUCTIONS*%0aSALE%20AND%20PURCHASE%20DETAILS%20REQUIRED%20OF%20AUGUST%202026%20FOR%20GST%20RETURN%0a*LAST%20DATE:%2010-09-2026*</v>
      </c>
    </row>
    <row r="13" spans="1:12">
      <c r="A13" s="4" t="s">
        <v>34</v>
      </c>
      <c r="C13" t="s">
        <v>34</v>
      </c>
      <c r="D13">
        <v>9870713071</v>
      </c>
      <c r="E13" s="40" t="str">
        <f>HYPERLINK(CONCATENATE("https://wa.me/",D13,"?text=*",C13,"*%0a","SALE%20AND%20PURCHASE%20DETAILS%20REQUIRED%20OF%20",$B$1,"%20",$B$2,"%20FOR%20GST%20RETURN%0a","*LAST%20DATE:%20",TEXT(DATE($B$2,$B$3,$B$4),"DD-MM-YYYY"),"*"))</f>
        <v>https://wa.me/9870713071?text=*SHREEJI ENTERPRISES*%0aSALE%20AND%20PURCHASE%20DETAILS%20REQUIRED%20OF%20AUGUST%202026%20FOR%20GST%20RETURN%0a*LAST%20DATE:%2010-09-2026*</v>
      </c>
    </row>
    <row r="14" spans="1:12">
      <c r="A14" s="4" t="s">
        <v>47</v>
      </c>
      <c r="C14" t="s">
        <v>47</v>
      </c>
      <c r="D14">
        <v>9870713071</v>
      </c>
      <c r="E14" s="40" t="str">
        <f>HYPERLINK(CONCATENATE("https://wa.me/",D14,"?text=*",C14,"*%0a","SALE%20AND%20PURCHASE%20DETAILS%20REQUIRED%20OF%20",$B$1,"%20",$B$2,"%20FOR%20GST%20RETURN%0a","*LAST%20DATE:%20",TEXT(DATE($B$2,$B$3,$B$4),"DD-MM-YYYY"),"*"))</f>
        <v>https://wa.me/9870713071?text=*SHREE KHODAL CONSTRUCTIONS*%0aSALE%20AND%20PURCHASE%20DETAILS%20REQUIRED%20OF%20AUGUST%202026%20FOR%20GST%20RETURN%0a*LAST%20DATE:%2010-09-2026*</v>
      </c>
    </row>
    <row r="15" spans="1:12">
      <c r="A15" s="4" t="s">
        <v>91</v>
      </c>
      <c r="C15" t="s">
        <v>91</v>
      </c>
      <c r="D15">
        <v>9870713071</v>
      </c>
      <c r="E15" s="40" t="str">
        <f>HYPERLINK(CONCATENATE("https://wa.me/",D15,"?text=*",C15,"*%0a","SALE%20AND%20PURCHASE%20DETAILS%20REQUIRED%20OF%20",$B$1,"%20",$B$2,"%20FOR%20GST%20RETURN%0a","*LAST%20DATE:%20",TEXT(DATE($B$2,$B$3,$B$4),"DD-MM-YYYY"),"*"))</f>
        <v>https://wa.me/9870713071?text=*SHUBH SALES*%0aSALE%20AND%20PURCHASE%20DETAILS%20REQUIRED%20OF%20AUGUST%202026%20FOR%20GST%20RETURN%0a*LAST%20DATE:%2010-09-2026*</v>
      </c>
    </row>
    <row r="16" spans="1:12">
      <c r="A16" s="4" t="s">
        <v>119</v>
      </c>
      <c r="C16" t="s">
        <v>119</v>
      </c>
      <c r="D16">
        <v>9870713071</v>
      </c>
      <c r="E16" s="40" t="str">
        <f>HYPERLINK(CONCATENATE("https://wa.me/",D16,"?text=*",C16,"*%0a","SALE%20AND%20PURCHASE%20DETAILS%20REQUIRED%20OF%20",$B$1,"%20",$B$2,"%20FOR%20GST%20RETURN%0a","*LAST%20DATE:%20",TEXT(DATE($B$2,$B$3,$B$4),"DD-MM-YYYY"),"*"))</f>
        <v>https://wa.me/9870713071?text=*SHREYA CONSTRUCTION COMPANY*%0aSALE%20AND%20PURCHASE%20DETAILS%20REQUIRED%20OF%20AUGUST%202026%20FOR%20GST%20RETURN%0a*LAST%20DATE:%2010-09-2026*</v>
      </c>
    </row>
    <row r="17" spans="1:5">
      <c r="A17" s="4" t="s">
        <v>207</v>
      </c>
      <c r="C17" t="s">
        <v>123</v>
      </c>
      <c r="D17">
        <v>9870713071</v>
      </c>
      <c r="E17" s="40" t="str">
        <f>HYPERLINK(CONCATENATE("https://wa.me/",D17,"?text=*",C17,"*%0a","SALE%20AND%20PURCHASE%20DETAILS%20REQUIRED%20OF%20",$B$1,"%20",$B$2,"%20FOR%20GST%20RETURN%0a","*LAST%20DATE:%20",TEXT(DATE($B$2,$B$3,$B$4),"DD-MM-YYYY"),"*"))</f>
        <v>https://wa.me/9870713071?text=*DWARKESH ELECTROFAB*%0aSALE%20AND%20PURCHASE%20DETAILS%20REQUIRED%20OF%20AUGUST%202026%20FOR%20GST%20RETURN%0a*LAST%20DATE:%2010-09-2026*</v>
      </c>
    </row>
    <row r="18" spans="1:5">
      <c r="A18" s="4" t="s">
        <v>38</v>
      </c>
      <c r="C18" t="s">
        <v>38</v>
      </c>
      <c r="D18">
        <v>9870713071</v>
      </c>
      <c r="E18" s="40" t="str">
        <f>HYPERLINK(CONCATENATE("https://wa.me/",D18,"?text=*",C18,"*%0a","SALE%20AND%20PURCHASE%20DETAILS%20REQUIRED%20OF%20",$B$1,"%20",$B$2,"%20FOR%20GST%20RETURN%0a","*LAST%20DATE:%20",TEXT(DATE($B$2,$B$3,$B$4),"DD-MM-YYYY"),"*"))</f>
        <v>https://wa.me/9870713071?text=*LOTUS INFRASTRUCTURE*%0aSALE%20AND%20PURCHASE%20DETAILS%20REQUIRED%20OF%20AUGUST%202026%20FOR%20GST%20RETURN%0a*LAST%20DATE:%2010-09-2026*</v>
      </c>
    </row>
    <row r="19" spans="1:5">
      <c r="A19" s="4" t="s">
        <v>208</v>
      </c>
      <c r="C19" t="s">
        <v>127</v>
      </c>
      <c r="D19">
        <v>9870713071</v>
      </c>
      <c r="E19" s="40" t="str">
        <f>HYPERLINK(CONCATENATE("https://wa.me/",D19,"?text=*",C19,"*%0a","SALE%20AND%20PURCHASE%20DETAILS%20REQUIRED%20OF%20",$B$1,"%20",$B$2,"%20FOR%20GST%20RETURN%0a","*LAST%20DATE:%20",TEXT(DATE($B$2,$B$3,$B$4),"DD-MM-YYYY"),"*"))</f>
        <v>https://wa.me/9870713071?text=*VARNI ENTERPRISES*%0aSALE%20AND%20PURCHASE%20DETAILS%20REQUIRED%20OF%20AUGUST%202026%20FOR%20GST%20RETURN%0a*LAST%20DATE:%2010-09-2026*</v>
      </c>
    </row>
    <row r="20" spans="1:5">
      <c r="A20" s="4" t="s">
        <v>130</v>
      </c>
      <c r="C20" t="s">
        <v>130</v>
      </c>
      <c r="D20">
        <v>9870713071</v>
      </c>
      <c r="E20" s="40" t="str">
        <f>HYPERLINK(CONCATENATE("https://wa.me/",D20,"?text=*",C20,"*%0a","SALE%20AND%20PURCHASE%20DETAILS%20REQUIRED%20OF%20",$B$1,"%20",$B$2,"%20FOR%20GST%20RETURN%0a","*LAST%20DATE:%20",TEXT(DATE($B$2,$B$3,$B$4),"DD-MM-YYYY"),"*"))</f>
        <v>https://wa.me/9870713071?text=*MAHADEV CONSTRUCTION*%0aSALE%20AND%20PURCHASE%20DETAILS%20REQUIRED%20OF%20AUGUST%202026%20FOR%20GST%20RETURN%0a*LAST%20DATE:%2010-09-2026*</v>
      </c>
    </row>
    <row r="21" spans="1:5">
      <c r="A21" s="4" t="s">
        <v>209</v>
      </c>
      <c r="C21" t="s">
        <v>134</v>
      </c>
      <c r="D21">
        <v>9870713071</v>
      </c>
      <c r="E21" s="40" t="str">
        <f>HYPERLINK(CONCATENATE("https://wa.me/",D21,"?text=*",C21,"*%0a","SALE%20AND%20PURCHASE%20DETAILS%20REQUIRED%20OF%20",$B$1,"%20",$B$2,"%20FOR%20GST%20RETURN%0a","*LAST%20DATE:%20",TEXT(DATE($B$2,$B$3,$B$4),"DD-MM-YYYY"),"*"))</f>
        <v>https://wa.me/9870713071?text=*SHIVALAYA INFRASTRUCTURE*%0aSALE%20AND%20PURCHASE%20DETAILS%20REQUIRED%20OF%20AUGUST%202026%20FOR%20GST%20RETURN%0a*LAST%20DATE:%2010-09-2026*</v>
      </c>
    </row>
    <row r="22" spans="1:5">
      <c r="A22" s="4" t="s">
        <v>137</v>
      </c>
      <c r="C22" t="s">
        <v>137</v>
      </c>
      <c r="D22">
        <v>9870713071</v>
      </c>
      <c r="E22" s="40" t="str">
        <f>HYPERLINK(CONCATENATE("https://wa.me/",D22,"?text=*",C22,"*%0a","SALE%20AND%20PURCHASE%20DETAILS%20REQUIRED%20OF%20",$B$1,"%20",$B$2,"%20FOR%20GST%20RETURN%0a","*LAST%20DATE:%20",TEXT(DATE($B$2,$B$3,$B$4),"DD-MM-YYYY"),"*"))</f>
        <v>https://wa.me/9870713071?text=*EKAKSHARA INFRAVENTURE*%0aSALE%20AND%20PURCHASE%20DETAILS%20REQUIRED%20OF%20AUGUST%202026%20FOR%20GST%20RETURN%0a*LAST%20DATE:%2010-09-2026*</v>
      </c>
    </row>
    <row r="23" spans="1:5">
      <c r="A23" s="4" t="s">
        <v>210</v>
      </c>
      <c r="C23" t="s">
        <v>148</v>
      </c>
      <c r="D23">
        <v>9870713071</v>
      </c>
      <c r="E23" s="40" t="str">
        <f>HYPERLINK(CONCATENATE("https://wa.me/",D23,"?text=*",C23,"*%0a","SALE%20AND%20PURCHASE%20DETAILS%20REQUIRED%20OF%20",$B$1,"%20",$B$2,"%20FOR%20GST%20RETURN%0a","*LAST%20DATE:%20",TEXT(DATE($B$2,$B$3,$B$4),"DD-MM-YYYY"),"*"))</f>
        <v>https://wa.me/9870713071?text=*VRAJ CONSTRUCTION*%0aSALE%20AND%20PURCHASE%20DETAILS%20REQUIRED%20OF%20AUGUST%202026%20FOR%20GST%20RETURN%0a*LAST%20DATE:%2010-09-2026*</v>
      </c>
    </row>
    <row r="24" spans="1:5">
      <c r="A24" s="4" t="s">
        <v>211</v>
      </c>
      <c r="C24" t="s">
        <v>151</v>
      </c>
      <c r="D24">
        <v>9870713071</v>
      </c>
      <c r="E24" s="40" t="str">
        <f>HYPERLINK(CONCATENATE("https://wa.me/",D24,"?text=*",C24,"*%0a","SALE%20AND%20PURCHASE%20DETAILS%20REQUIRED%20OF%20",$B$1,"%20",$B$2,"%20FOR%20GST%20RETURN%0a","*LAST%20DATE:%20",TEXT(DATE($B$2,$B$3,$B$4),"DD-MM-YYYY"),"*"))</f>
        <v>https://wa.me/9870713071?text=*D V PATEL CONSTRUCTION*%0aSALE%20AND%20PURCHASE%20DETAILS%20REQUIRED%20OF%20AUGUST%202026%20FOR%20GST%20RETURN%0a*LAST%20DATE:%2010-09-2026*</v>
      </c>
    </row>
    <row r="25" spans="1:5">
      <c r="A25" s="4" t="s">
        <v>154</v>
      </c>
      <c r="C25" t="s">
        <v>275</v>
      </c>
      <c r="D25">
        <v>9870713071</v>
      </c>
      <c r="E25" s="40" t="str">
        <f>HYPERLINK(CONCATENATE("https://wa.me/",D25,"?text=*",C25,"*%0a","SALE%20AND%20PURCHASE%20DETAILS%20REQUIRED%20OF%20",$B$1,"%20",$B$2,"%20FOR%20GST%20RETURN%0a","*LAST%20DATE:%20",TEXT(DATE($B$2,$B$3,$B$4),"DD-MM-YYYY"),"*"))</f>
        <v>https://wa.me/9870713071?text=*NILKANTH CEMENT PRODUCTS*%0aSALE%20AND%20PURCHASE%20DETAILS%20REQUIRED%20OF%20AUGUST%202026%20FOR%20GST%20RETURN%0a*LAST%20DATE:%2010-09-2026*</v>
      </c>
    </row>
    <row r="26" spans="1:5">
      <c r="A26" s="4" t="s">
        <v>212</v>
      </c>
      <c r="C26" t="s">
        <v>157</v>
      </c>
      <c r="D26">
        <v>9870713071</v>
      </c>
      <c r="E26" s="40" t="str">
        <f>HYPERLINK(CONCATENATE("https://wa.me/",D26,"?text=*",C26,"*%0a","SALE%20AND%20PURCHASE%20DETAILS%20REQUIRED%20OF%20",$B$1,"%20",$B$2,"%20FOR%20GST%20RETURN%0a","*LAST%20DATE:%20",TEXT(DATE($B$2,$B$3,$B$4),"DD-MM-YYYY"),"*"))</f>
        <v>https://wa.me/9870713071?text=*SHRI SAMARTH CONSTRUCTION*%0aSALE%20AND%20PURCHASE%20DETAILS%20REQUIRED%20OF%20AUGUST%202026%20FOR%20GST%20RETURN%0a*LAST%20DATE:%2010-09-2026*</v>
      </c>
    </row>
    <row r="27" spans="1:5">
      <c r="A27" s="4" t="s">
        <v>213</v>
      </c>
      <c r="C27" t="s">
        <v>161</v>
      </c>
      <c r="D27">
        <v>9870713071</v>
      </c>
      <c r="E27" s="40" t="str">
        <f>HYPERLINK(CONCATENATE("https://wa.me/",D27,"?text=*",C27,"*%0a","SALE%20AND%20PURCHASE%20DETAILS%20REQUIRED%20OF%20",$B$1,"%20",$B$2,"%20FOR%20GST%20RETURN%0a","*LAST%20DATE:%20",TEXT(DATE($B$2,$B$3,$B$4),"DD-MM-YYYY"),"*"))</f>
        <v>https://wa.me/9870713071?text=*PATOLIYA BUILDCON*%0aSALE%20AND%20PURCHASE%20DETAILS%20REQUIRED%20OF%20AUGUST%202026%20FOR%20GST%20RETURN%0a*LAST%20DATE:%2010-09-2026*</v>
      </c>
    </row>
    <row r="28" spans="1:5">
      <c r="A28" s="4" t="s">
        <v>168</v>
      </c>
      <c r="C28" t="s">
        <v>168</v>
      </c>
      <c r="D28">
        <v>9870713071</v>
      </c>
      <c r="E28" s="40" t="str">
        <f>HYPERLINK(CONCATENATE("https://wa.me/",D28,"?text=*",C28,"*%0a","SALE%20AND%20PURCHASE%20DETAILS%20REQUIRED%20OF%20",$B$1,"%20",$B$2,"%20FOR%20GST%20RETURN%0a","*LAST%20DATE:%20",TEXT(DATE($B$2,$B$3,$B$4),"DD-MM-YYYY"),"*"))</f>
        <v>https://wa.me/9870713071?text=*P S CONSTRUCTION*%0aSALE%20AND%20PURCHASE%20DETAILS%20REQUIRED%20OF%20AUGUST%202026%20FOR%20GST%20RETURN%0a*LAST%20DATE:%2010-09-2026*</v>
      </c>
    </row>
    <row r="29" spans="1:5">
      <c r="A29" s="4" t="s">
        <v>171</v>
      </c>
      <c r="C29" t="s">
        <v>171</v>
      </c>
      <c r="D29">
        <v>9870713071</v>
      </c>
      <c r="E29" s="40" t="str">
        <f>HYPERLINK(CONCATENATE("https://wa.me/",D29,"?text=*",C29,"*%0a","SALE%20AND%20PURCHASE%20DETAILS%20REQUIRED%20OF%20",$B$1,"%20",$B$2,"%20FOR%20GST%20RETURN%0a","*LAST%20DATE:%20",TEXT(DATE($B$2,$B$3,$B$4),"DD-MM-YYYY"),"*"))</f>
        <v>https://wa.me/9870713071?text=*SUPERIOR CONSTRUCTION*%0aSALE%20AND%20PURCHASE%20DETAILS%20REQUIRED%20OF%20AUGUST%202026%20FOR%20GST%20RETURN%0a*LAST%20DATE:%2010-09-2026*</v>
      </c>
    </row>
    <row r="30" spans="1:5">
      <c r="A30" s="4" t="s">
        <v>214</v>
      </c>
      <c r="C30" t="s">
        <v>175</v>
      </c>
      <c r="D30">
        <v>9870713071</v>
      </c>
      <c r="E30" s="40" t="str">
        <f>HYPERLINK(CONCATENATE("https://wa.me/",D30,"?text=*",C30,"*%0a","SALE%20AND%20PURCHASE%20DETAILS%20REQUIRED%20OF%20",$B$1,"%20",$B$2,"%20FOR%20GST%20RETURN%0a","*LAST%20DATE:%20",TEXT(DATE($B$2,$B$3,$B$4),"DD-MM-YYYY"),"*"))</f>
        <v>https://wa.me/9870713071?text=*SHIVALAY CONSTRUCTION*%0aSALE%20AND%20PURCHASE%20DETAILS%20REQUIRED%20OF%20AUGUST%202026%20FOR%20GST%20RETURN%0a*LAST%20DATE:%2010-09-2026*</v>
      </c>
    </row>
    <row r="31" spans="1:5">
      <c r="A31" s="4" t="s">
        <v>215</v>
      </c>
      <c r="C31" t="s">
        <v>178</v>
      </c>
      <c r="D31">
        <v>9870713071</v>
      </c>
      <c r="E31" s="40" t="str">
        <f>HYPERLINK(CONCATENATE("https://wa.me/",D31,"?text=*",C31,"*%0a","SALE%20AND%20PURCHASE%20DETAILS%20REQUIRED%20OF%20",$B$1,"%20",$B$2,"%20FOR%20GST%20RETURN%0a","*LAST%20DATE:%20",TEXT(DATE($B$2,$B$3,$B$4),"DD-MM-YYYY"),"*"))</f>
        <v>https://wa.me/9870713071?text=*SHREEJI CONSTRUCTION*%0aSALE%20AND%20PURCHASE%20DETAILS%20REQUIRED%20OF%20AUGUST%202026%20FOR%20GST%20RETURN%0a*LAST%20DATE:%2010-09-2026*</v>
      </c>
    </row>
    <row r="32" spans="1:5">
      <c r="A32" s="4" t="s">
        <v>204</v>
      </c>
      <c r="C32" t="s">
        <v>189</v>
      </c>
      <c r="D32">
        <v>9870713071</v>
      </c>
      <c r="E32" s="40" t="str">
        <f>HYPERLINK(CONCATENATE("https://wa.me/",D32,"?text=*",C32,"*%0a","SALE%20AND%20PURCHASE%20DETAILS%20REQUIRED%20OF%20",$B$1,"%20",$B$2,"%20FOR%20GST%20RETURN%0a","*LAST%20DATE:%20",TEXT(DATE($B$2,$B$3,$B$4),"DD-MM-YYYY"),"*"))</f>
        <v>https://wa.me/9870713071?text=*ADIT ENTERPRISES*%0aSALE%20AND%20PURCHASE%20DETAILS%20REQUIRED%20OF%20AUGUST%202026%20FOR%20GST%20RETURN%0a*LAST%20DATE:%2010-09-2026*</v>
      </c>
    </row>
    <row r="33" spans="1:5">
      <c r="A33" s="4" t="s">
        <v>198</v>
      </c>
      <c r="C33" t="s">
        <v>198</v>
      </c>
      <c r="D33">
        <v>9870713071</v>
      </c>
      <c r="E33" s="40" t="str">
        <f>HYPERLINK(CONCATENATE("https://wa.me/",D33,"?text=*",C33,"*%0a","SALE%20AND%20PURCHASE%20DETAILS%20REQUIRED%20OF%20",$B$1,"%20",$B$2,"%20FOR%20GST%20RETURN%0a","*LAST%20DATE:%20",TEXT(DATE($B$2,$B$3,$B$4),"DD-MM-YYYY"),"*"))</f>
        <v>https://wa.me/9870713071?text=*PARTH INFRATECH*%0aSALE%20AND%20PURCHASE%20DETAILS%20REQUIRED%20OF%20AUGUST%202026%20FOR%20GST%20RETURN%0a*LAST%20DATE:%2010-09-2026*</v>
      </c>
    </row>
    <row r="34" spans="1:5">
      <c r="A34" s="4" t="s">
        <v>200</v>
      </c>
      <c r="C34" t="s">
        <v>200</v>
      </c>
      <c r="D34">
        <v>9870713071</v>
      </c>
      <c r="E34" s="40" t="str">
        <f>HYPERLINK(CONCATENATE("https://wa.me/",D34,"?text=*",C34,"*%0a","SALE%20AND%20PURCHASE%20DETAILS%20REQUIRED%20OF%20",$B$1,"%20",$B$2,"%20FOR%20GST%20RETURN%0a","*LAST%20DATE:%20",TEXT(DATE($B$2,$B$3,$B$4),"DD-MM-YYYY"),"*"))</f>
        <v>https://wa.me/9870713071?text=*SWASTIK INFRA*%0aSALE%20AND%20PURCHASE%20DETAILS%20REQUIRED%20OF%20AUGUST%202026%20FOR%20GST%20RETURN%0a*LAST%20DATE:%2010-09-2026*</v>
      </c>
    </row>
    <row r="35" spans="1:5">
      <c r="A35" s="4" t="s">
        <v>241</v>
      </c>
      <c r="C35" t="s">
        <v>239</v>
      </c>
      <c r="D35">
        <v>9870713071</v>
      </c>
      <c r="E35" s="40" t="str">
        <f>HYPERLINK(CONCATENATE("https://wa.me/",D35,"?text=*",C35,"*%0a","SALE%20AND%20PURCHASE%20DETAILS%20REQUIRED%20OF%20",$B$1,"%20",$B$2,"%20FOR%20GST%20RETURN%0a","*LAST%20DATE:%20",TEXT(DATE($B$2,$B$3,$B$4),"DD-MM-YYYY"),"*"))</f>
        <v>https://wa.me/9870713071?text=*ALDOOR*%0aSALE%20AND%20PURCHASE%20DETAILS%20REQUIRED%20OF%20AUGUST%202026%20FOR%20GST%20RETURN%0a*LAST%20DATE:%2010-09-2026*</v>
      </c>
    </row>
    <row r="36" spans="1:5">
      <c r="A36" s="4" t="s">
        <v>235</v>
      </c>
      <c r="C36" t="s">
        <v>235</v>
      </c>
      <c r="D36">
        <v>9870713071</v>
      </c>
      <c r="E36" s="40" t="str">
        <f>HYPERLINK(CONCATENATE("https://wa.me/",D36,"?text=*",C36,"*%0a","SALE%20AND%20PURCHASE%20DETAILS%20REQUIRED%20OF%20",$B$1,"%20",$B$2,"%20FOR%20GST%20RETURN%0a","*LAST%20DATE:%20",TEXT(DATE($B$2,$B$3,$B$4),"DD-MM-YYYY"),"*"))</f>
        <v>https://wa.me/9870713071?text=*DAKSHVIL EXPORTS PRIVATE LIMITED*%0aSALE%20AND%20PURCHASE%20DETAILS%20REQUIRED%20OF%20AUGUST%202026%20FOR%20GST%20RETURN%0a*LAST%20DATE:%2010-09-2026*</v>
      </c>
    </row>
    <row r="37" spans="1:5">
      <c r="A37" s="4" t="s">
        <v>245</v>
      </c>
      <c r="C37" t="s">
        <v>245</v>
      </c>
      <c r="D37">
        <v>9870713071</v>
      </c>
      <c r="E37" s="40" t="str">
        <f>HYPERLINK(CONCATENATE("https://wa.me/",D37,"?text=*",C37,"*%0a","SALE%20AND%20PURCHASE%20DETAILS%20REQUIRED%20OF%20",$B$1,"%20",$B$2,"%20FOR%20GST%20RETURN%0a","*LAST%20DATE:%20",TEXT(DATE($B$2,$B$3,$B$4),"DD-MM-YYYY"),"*"))</f>
        <v>https://wa.me/9870713071?text=*SHREE HARI CONSTRUCTION COMPANY*%0aSALE%20AND%20PURCHASE%20DETAILS%20REQUIRED%20OF%20AUGUST%202026%20FOR%20GST%20RETURN%0a*LAST%20DATE:%2010-09-2026*</v>
      </c>
    </row>
    <row r="38" spans="1:5">
      <c r="A38" s="4" t="s">
        <v>8</v>
      </c>
      <c r="C38" t="s">
        <v>8</v>
      </c>
      <c r="D38">
        <v>9870713071</v>
      </c>
      <c r="E38" s="40" t="str">
        <f>HYPERLINK(CONCATENATE("https://wa.me/",D38,"?text=*",C38,"*%0a","SALE%20AND%20PURCHASE%20DETAILS%20REQUIRED%20OF%20",$B$1,"%20",$B$2,"%20FOR%20GST%20RETURN%0a","*LAST%20DATE:%20",TEXT(DATE($B$2,$B$3,$B$4),"DD-MM-YYYY"),"*"))</f>
        <v>https://wa.me/9870713071?text=*A K ASSOCIATES*%0aSALE%20AND%20PURCHASE%20DETAILS%20REQUIRED%20OF%20AUGUST%202026%20FOR%20GST%20RETURN%0a*LAST%20DATE:%2010-09-2026*</v>
      </c>
    </row>
    <row r="39" spans="1:5">
      <c r="A39" s="4" t="s">
        <v>15</v>
      </c>
      <c r="C39" t="s">
        <v>15</v>
      </c>
      <c r="D39">
        <v>9870713071</v>
      </c>
      <c r="E39" s="40" t="str">
        <f>HYPERLINK(CONCATENATE("https://wa.me/",D39,"?text=*",C39,"*%0a","SALE%20AND%20PURCHASE%20DETAILS%20REQUIRED%20OF%20",$B$1,"%20",$B$2,"%20FOR%20GST%20RETURN%0a","*LAST%20DATE:%20",TEXT(DATE($B$2,$B$3,$B$4),"DD-MM-YYYY"),"*"))</f>
        <v>https://wa.me/9870713071?text=*GOKUL CONSTRUCTION*%0aSALE%20AND%20PURCHASE%20DETAILS%20REQUIRED%20OF%20AUGUST%202026%20FOR%20GST%20RETURN%0a*LAST%20DATE:%2010-09-2026*</v>
      </c>
    </row>
    <row r="40" spans="1:5">
      <c r="A40" s="4" t="s">
        <v>19</v>
      </c>
      <c r="C40" t="s">
        <v>19</v>
      </c>
      <c r="D40">
        <v>9870713071</v>
      </c>
      <c r="E40" s="40" t="str">
        <f>HYPERLINK(CONCATENATE("https://wa.me/",D40,"?text=*",C40,"*%0a","SALE%20AND%20PURCHASE%20DETAILS%20REQUIRED%20OF%20",$B$1,"%20",$B$2,"%20FOR%20GST%20RETURN%0a","*LAST%20DATE:%20",TEXT(DATE($B$2,$B$3,$B$4),"DD-MM-YYYY"),"*"))</f>
        <v>https://wa.me/9870713071?text=*R K CONSTRUCTION*%0aSALE%20AND%20PURCHASE%20DETAILS%20REQUIRED%20OF%20AUGUST%202026%20FOR%20GST%20RETURN%0a*LAST%20DATE:%2010-09-2026*</v>
      </c>
    </row>
    <row r="41" spans="1:5">
      <c r="A41" s="4" t="s">
        <v>24</v>
      </c>
      <c r="C41" t="s">
        <v>24</v>
      </c>
      <c r="D41">
        <v>9870713071</v>
      </c>
      <c r="E41" s="40" t="str">
        <f>HYPERLINK(CONCATENATE("https://wa.me/",D41,"?text=*",C41,"*%0a","SALE%20AND%20PURCHASE%20DETAILS%20REQUIRED%20OF%20",$B$1,"%20",$B$2,"%20FOR%20GST%20RETURN%0a","*LAST%20DATE:%20",TEXT(DATE($B$2,$B$3,$B$4),"DD-MM-YYYY"),"*"))</f>
        <v>https://wa.me/9870713071?text=*S M P ENTERPRISES*%0aSALE%20AND%20PURCHASE%20DETAILS%20REQUIRED%20OF%20AUGUST%202026%20FOR%20GST%20RETURN%0a*LAST%20DATE:%2010-09-2026*</v>
      </c>
    </row>
    <row r="42" spans="1:5">
      <c r="A42" s="4" t="s">
        <v>51</v>
      </c>
      <c r="C42" t="s">
        <v>51</v>
      </c>
      <c r="D42">
        <v>9870713071</v>
      </c>
      <c r="E42" s="40" t="str">
        <f>HYPERLINK(CONCATENATE("https://wa.me/",D42,"?text=*",C42,"*%0a","SALE%20AND%20PURCHASE%20DETAILS%20REQUIRED%20OF%20",$B$1,"%20",$B$2,"%20FOR%20GST%20RETURN%0a","*LAST%20DATE:%20",TEXT(DATE($B$2,$B$3,$B$4),"DD-MM-YYYY"),"*"))</f>
        <v>https://wa.me/9870713071?text=*DWARKESH INFRASTRUCTURE*%0aSALE%20AND%20PURCHASE%20DETAILS%20REQUIRED%20OF%20AUGUST%202026%20FOR%20GST%20RETURN%0a*LAST%20DATE:%2010-09-2026*</v>
      </c>
    </row>
    <row r="43" spans="1:5">
      <c r="A43" s="4" t="s">
        <v>61</v>
      </c>
      <c r="C43" t="s">
        <v>61</v>
      </c>
      <c r="D43">
        <v>9870713071</v>
      </c>
      <c r="E43" s="40" t="str">
        <f>HYPERLINK(CONCATENATE("https://wa.me/",D43,"?text=*",C43,"*%0a","SALE%20AND%20PURCHASE%20DETAILS%20REQUIRED%20OF%20",$B$1,"%20",$B$2,"%20FOR%20GST%20RETURN%0a","*LAST%20DATE:%20",TEXT(DATE($B$2,$B$3,$B$4),"DD-MM-YYYY"),"*"))</f>
        <v>https://wa.me/9870713071?text=*HARDIK PATEL*%0aSALE%20AND%20PURCHASE%20DETAILS%20REQUIRED%20OF%20AUGUST%202026%20FOR%20GST%20RETURN%0a*LAST%20DATE:%2010-09-2026*</v>
      </c>
    </row>
    <row r="44" spans="1:5">
      <c r="A44" s="4" t="s">
        <v>216</v>
      </c>
      <c r="C44" t="s">
        <v>65</v>
      </c>
      <c r="D44">
        <v>9870713071</v>
      </c>
      <c r="E44" s="40" t="str">
        <f>HYPERLINK(CONCATENATE("https://wa.me/",D44,"?text=*",C44,"*%0a","SALE%20AND%20PURCHASE%20DETAILS%20REQUIRED%20OF%20",$B$1,"%20",$B$2,"%20FOR%20GST%20RETURN%0a","*LAST%20DATE:%20",TEXT(DATE($B$2,$B$3,$B$4),"DD-MM-YYYY"),"*"))</f>
        <v>https://wa.me/9870713071?text=*AMOL ENGINEERING WORKS*%0aSALE%20AND%20PURCHASE%20DETAILS%20REQUIRED%20OF%20AUGUST%202026%20FOR%20GST%20RETURN%0a*LAST%20DATE:%2010-09-2026*</v>
      </c>
    </row>
    <row r="45" spans="1:5">
      <c r="A45" s="4" t="s">
        <v>217</v>
      </c>
      <c r="C45" t="s">
        <v>69</v>
      </c>
      <c r="D45">
        <v>9870713071</v>
      </c>
      <c r="E45" s="40" t="str">
        <f>HYPERLINK(CONCATENATE("https://wa.me/",D45,"?text=*",C45,"*%0a","SALE%20AND%20PURCHASE%20DETAILS%20REQUIRED%20OF%20",$B$1,"%20",$B$2,"%20FOR%20GST%20RETURN%0a","*LAST%20DATE:%20",TEXT(DATE($B$2,$B$3,$B$4),"DD-MM-YYYY"),"*"))</f>
        <v>https://wa.me/9870713071?text=*RIYA ENTERPRISES*%0aSALE%20AND%20PURCHASE%20DETAILS%20REQUIRED%20OF%20AUGUST%202026%20FOR%20GST%20RETURN%0a*LAST%20DATE:%2010-09-2026*</v>
      </c>
    </row>
    <row r="46" spans="1:5">
      <c r="A46" s="4" t="s">
        <v>218</v>
      </c>
      <c r="C46" t="s">
        <v>276</v>
      </c>
      <c r="D46">
        <v>9870713071</v>
      </c>
      <c r="E46" s="40" t="str">
        <f>HYPERLINK(CONCATENATE("https://wa.me/",D46,"?text=*",C46,"*%0a","SALE%20AND%20PURCHASE%20DETAILS%20REQUIRED%20OF%20",$B$1,"%20",$B$2,"%20FOR%20GST%20RETURN%0a","*LAST%20DATE:%20",TEXT(DATE($B$2,$B$3,$B$4),"DD-MM-YYYY"),"*"))</f>
        <v>https://wa.me/9870713071?text=*HARI KRUSHNA CONSTRUCTION*%0aSALE%20AND%20PURCHASE%20DETAILS%20REQUIRED%20OF%20AUGUST%202026%20FOR%20GST%20RETURN%0a*LAST%20DATE:%2010-09-2026*</v>
      </c>
    </row>
    <row r="47" spans="1:5">
      <c r="A47" s="4" t="s">
        <v>219</v>
      </c>
      <c r="C47" t="s">
        <v>99</v>
      </c>
      <c r="D47">
        <v>9870713071</v>
      </c>
      <c r="E47" s="40" t="str">
        <f>HYPERLINK(CONCATENATE("https://wa.me/",D47,"?text=*",C47,"*%0a","SALE%20AND%20PURCHASE%20DETAILS%20REQUIRED%20OF%20",$B$1,"%20",$B$2,"%20FOR%20GST%20RETURN%0a","*LAST%20DATE:%20",TEXT(DATE($B$2,$B$3,$B$4),"DD-MM-YYYY"),"*"))</f>
        <v>https://wa.me/9870713071?text=*SAVALIYA CONSTRUCTION*%0aSALE%20AND%20PURCHASE%20DETAILS%20REQUIRED%20OF%20AUGUST%202026%20FOR%20GST%20RETURN%0a*LAST%20DATE:%2010-09-2026*</v>
      </c>
    </row>
    <row r="48" spans="1:5">
      <c r="A48" s="4" t="s">
        <v>220</v>
      </c>
      <c r="C48" t="s">
        <v>277</v>
      </c>
      <c r="D48">
        <v>9870713071</v>
      </c>
      <c r="E48" s="40" t="str">
        <f>HYPERLINK(CONCATENATE("https://wa.me/",D48,"?text=*",C48,"*%0a","SALE%20AND%20PURCHASE%20DETAILS%20REQUIRED%20OF%20",$B$1,"%20",$B$2,"%20FOR%20GST%20RETURN%0a","*LAST%20DATE:%20",TEXT(DATE($B$2,$B$3,$B$4),"DD-MM-YYYY"),"*"))</f>
        <v>https://wa.me/9870713071?text=*KHODAL ASSOCIATES*%0aSALE%20AND%20PURCHASE%20DETAILS%20REQUIRED%20OF%20AUGUST%202026%20FOR%20GST%20RETURN%0a*LAST%20DATE:%2010-09-2026*</v>
      </c>
    </row>
    <row r="49" spans="1:5">
      <c r="A49" s="4" t="s">
        <v>221</v>
      </c>
      <c r="C49" t="s">
        <v>112</v>
      </c>
      <c r="D49">
        <v>9870713071</v>
      </c>
      <c r="E49" s="40" t="str">
        <f>HYPERLINK(CONCATENATE("https://wa.me/",D49,"?text=*",C49,"*%0a","SALE%20AND%20PURCHASE%20DETAILS%20REQUIRED%20OF%20",$B$1,"%20",$B$2,"%20FOR%20GST%20RETURN%0a","*LAST%20DATE:%20",TEXT(DATE($B$2,$B$3,$B$4),"DD-MM-YYYY"),"*"))</f>
        <v>https://wa.me/9870713071?text=*JANVI INFRAVENTURE*%0aSALE%20AND%20PURCHASE%20DETAILS%20REQUIRED%20OF%20AUGUST%202026%20FOR%20GST%20RETURN%0a*LAST%20DATE:%2010-09-2026*</v>
      </c>
    </row>
    <row r="50" spans="1:5">
      <c r="A50" s="4" t="s">
        <v>222</v>
      </c>
      <c r="C50" t="s">
        <v>141</v>
      </c>
      <c r="D50">
        <v>9870713071</v>
      </c>
      <c r="E50" s="40" t="str">
        <f>HYPERLINK(CONCATENATE("https://wa.me/",D50,"?text=*",C50,"*%0a","SALE%20AND%20PURCHASE%20DETAILS%20REQUIRED%20OF%20",$B$1,"%20",$B$2,"%20FOR%20GST%20RETURN%0a","*LAST%20DATE:%20",TEXT(DATE($B$2,$B$3,$B$4),"DD-MM-YYYY"),"*"))</f>
        <v>https://wa.me/9870713071?text=*BUILTECH CONSTRUCTIONS*%0aSALE%20AND%20PURCHASE%20DETAILS%20REQUIRED%20OF%20AUGUST%202026%20FOR%20GST%20RETURN%0a*LAST%20DATE:%2010-09-2026*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APRIL 2022 ONWARDS</vt:lpstr>
      <vt:lpstr>Sheet1</vt:lpstr>
      <vt:lpstr>print</vt:lpstr>
      <vt:lpstr>MESSAGES</vt:lpstr>
      <vt:lpstr>print!Print_Area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cp:lastPrinted>2026-09-08T09:41:48Z</cp:lastPrinted>
  <dcterms:created xsi:type="dcterms:W3CDTF">2006-09-16T00:00:00Z</dcterms:created>
  <dcterms:modified xsi:type="dcterms:W3CDTF">2026-09-17T17:20:16Z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0CCD484A038247E093A71C1C34BD0E1E_12</vt:lpwstr>
  </property>
  <property fmtid="{D5CDD505-2E9C-101B-9397-08002B2CF9AE}" pid="3" name="KSOProductBuildVer">
    <vt:lpwstr>1033-12.2.0.21931</vt:lpwstr>
  </property>
</Properties>
</file>